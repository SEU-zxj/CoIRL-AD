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earch\projects\driving_world_model\icml_material\rebuttal\task1\no-comp\202603281054\"/>
    </mc:Choice>
  </mc:AlternateContent>
  <xr:revisionPtr revIDLastSave="0" documentId="13_ncr:1_{3A5B1A51-5EEA-4EEC-A1D4-D1F803D96C23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val_metrics" sheetId="1" r:id="rId1"/>
  </sheets>
  <calcPr calcId="191029"/>
</workbook>
</file>

<file path=xl/calcChain.xml><?xml version="1.0" encoding="utf-8"?>
<calcChain xmlns="http://schemas.openxmlformats.org/spreadsheetml/2006/main">
  <c r="L27" i="1" l="1"/>
  <c r="K13" i="1"/>
  <c r="F13" i="1"/>
  <c r="F3" i="1"/>
  <c r="K3" i="1"/>
  <c r="K4" i="1"/>
  <c r="L26" i="1"/>
  <c r="L18" i="1"/>
  <c r="L19" i="1"/>
  <c r="L20" i="1"/>
  <c r="L21" i="1"/>
  <c r="L22" i="1"/>
  <c r="L23" i="1"/>
  <c r="L24" i="1"/>
  <c r="L25" i="1"/>
  <c r="K18" i="1"/>
  <c r="K19" i="1"/>
  <c r="K20" i="1"/>
  <c r="K21" i="1"/>
  <c r="K22" i="1"/>
  <c r="K23" i="1"/>
  <c r="K24" i="1"/>
  <c r="K25" i="1"/>
  <c r="K26" i="1"/>
  <c r="F23" i="1"/>
  <c r="F26" i="1"/>
  <c r="F18" i="1"/>
  <c r="F19" i="1"/>
  <c r="F20" i="1"/>
  <c r="F21" i="1"/>
  <c r="F22" i="1"/>
  <c r="F24" i="1"/>
  <c r="F25" i="1"/>
  <c r="L3" i="1" l="1"/>
  <c r="K17" i="1"/>
  <c r="K5" i="1"/>
  <c r="K6" i="1"/>
  <c r="K7" i="1"/>
  <c r="K8" i="1"/>
  <c r="K9" i="1"/>
  <c r="K10" i="1"/>
  <c r="L10" i="1" s="1"/>
  <c r="K11" i="1"/>
  <c r="K12" i="1"/>
  <c r="K14" i="1"/>
  <c r="K15" i="1"/>
  <c r="K16" i="1"/>
  <c r="F4" i="1"/>
  <c r="F5" i="1"/>
  <c r="F6" i="1"/>
  <c r="F7" i="1"/>
  <c r="F8" i="1"/>
  <c r="F9" i="1"/>
  <c r="F10" i="1"/>
  <c r="F11" i="1"/>
  <c r="F12" i="1"/>
  <c r="F14" i="1"/>
  <c r="F15" i="1"/>
  <c r="F16" i="1"/>
  <c r="F17" i="1"/>
  <c r="L15" i="1" l="1"/>
  <c r="L7" i="1"/>
  <c r="L9" i="1"/>
  <c r="L16" i="1"/>
  <c r="L8" i="1"/>
  <c r="L14" i="1"/>
  <c r="L6" i="1"/>
  <c r="L13" i="1"/>
  <c r="L5" i="1"/>
  <c r="L12" i="1"/>
  <c r="L4" i="1"/>
  <c r="L11" i="1"/>
  <c r="L17" i="1"/>
</calcChain>
</file>

<file path=xl/sharedStrings.xml><?xml version="1.0" encoding="utf-8"?>
<sst xmlns="http://schemas.openxmlformats.org/spreadsheetml/2006/main" count="16" uniqueCount="10">
  <si>
    <t>epoch</t>
  </si>
  <si>
    <t>L2 (1s)</t>
  </si>
  <si>
    <t>L2 (2s)</t>
  </si>
  <si>
    <t>L2 (3s)</t>
  </si>
  <si>
    <t>Col (1s)</t>
  </si>
  <si>
    <t>Col (2s)</t>
  </si>
  <si>
    <t>Col (3s)</t>
  </si>
  <si>
    <t>L2 (avg)</t>
  </si>
  <si>
    <t>Col (avg)</t>
  </si>
  <si>
    <t>L2 (avg) * Col (avg)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</si>
</sst>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常规" xfId="0" builtinId="0"/>
    <cellStyle name="好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27"/>
  <sheetViews>
    <sheetView tabSelected="1" workbookViewId="0">
      <selection activeCell="M19" sqref="M19"/>
    </sheetView>
  </sheetViews>
  <sheetFormatPr defaultRowHeight="14.5"/>
  <sheetData>
    <row r="2" spans="1:20">
      <c r="A2" t="s">
        <v>0</v>
      </c>
      <c r="C2" t="s">
        <v>1</v>
      </c>
      <c r="D2" t="s">
        <v>2</v>
      </c>
      <c r="E2" t="s">
        <v>3</v>
      </c>
      <c r="F2" t="s">
        <v>7</v>
      </c>
      <c r="H2" t="s">
        <v>4</v>
      </c>
      <c r="I2" t="s">
        <v>5</v>
      </c>
      <c r="J2" t="s">
        <v>6</v>
      </c>
      <c r="K2" t="s">
        <v>8</v>
      </c>
      <c r="L2" t="s">
        <v>9</v>
      </c>
      <c r="N2" t="s">
        <v>1</v>
      </c>
      <c r="O2" t="s">
        <v>2</v>
      </c>
      <c r="P2" t="s">
        <v>3</v>
      </c>
      <c r="R2" t="s">
        <v>4</v>
      </c>
      <c r="S2" t="s">
        <v>5</v>
      </c>
      <c r="T2" t="s">
        <v>6</v>
      </c>
    </row>
    <row r="3" spans="1:20">
      <c r="A3">
        <v>1</v>
      </c>
      <c r="C3">
        <v>1.2675700000000001</v>
      </c>
      <c r="D3">
        <v>2.1325500000000002</v>
      </c>
      <c r="E3">
        <v>3.0435500000000002</v>
      </c>
      <c r="F3">
        <f>AVERAGE(C3:E3)</f>
        <v>2.1478900000000003</v>
      </c>
      <c r="H3">
        <v>0.36099999999999999</v>
      </c>
      <c r="I3">
        <v>1.284</v>
      </c>
      <c r="J3">
        <v>2.4089999999999998</v>
      </c>
      <c r="K3">
        <f>AVERAGE(H3:J3)</f>
        <v>1.3513333333333335</v>
      </c>
      <c r="L3">
        <f>F3*K3</f>
        <v>2.9025153533333339</v>
      </c>
      <c r="N3">
        <v>1.2290700000000001</v>
      </c>
      <c r="O3">
        <v>2.0738599999999998</v>
      </c>
      <c r="P3">
        <v>2.9579300000000002</v>
      </c>
      <c r="R3">
        <v>1.0840000000000001</v>
      </c>
      <c r="S3">
        <v>1.6950000000000001</v>
      </c>
      <c r="T3">
        <v>2.6989999999999998</v>
      </c>
    </row>
    <row r="4" spans="1:20">
      <c r="A4">
        <v>2</v>
      </c>
      <c r="C4">
        <v>0.67720999999999998</v>
      </c>
      <c r="D4">
        <v>1.18618</v>
      </c>
      <c r="E4">
        <v>1.7795300000000001</v>
      </c>
      <c r="F4">
        <f t="shared" ref="F4:F26" si="0">AVERAGE(C4:E4)</f>
        <v>1.2143066666666666</v>
      </c>
      <c r="H4">
        <v>0.48799999999999999</v>
      </c>
      <c r="I4">
        <v>0.55199999999999994</v>
      </c>
      <c r="J4">
        <v>1.0580000000000001</v>
      </c>
      <c r="K4">
        <f>AVERAGE(H4:J4)</f>
        <v>0.69933333333333325</v>
      </c>
      <c r="L4">
        <f>F4*K4</f>
        <v>0.84920512888888877</v>
      </c>
      <c r="N4">
        <v>0.67351000000000005</v>
      </c>
      <c r="O4">
        <v>1.1690799999999999</v>
      </c>
      <c r="P4">
        <v>1.7406600000000001</v>
      </c>
      <c r="R4">
        <v>1.27</v>
      </c>
      <c r="S4">
        <v>1.524</v>
      </c>
      <c r="T4">
        <v>2.1030000000000002</v>
      </c>
    </row>
    <row r="5" spans="1:20">
      <c r="A5">
        <v>3</v>
      </c>
      <c r="C5">
        <v>0.43007000000000001</v>
      </c>
      <c r="D5">
        <v>0.79047000000000001</v>
      </c>
      <c r="E5">
        <v>1.2477499999999999</v>
      </c>
      <c r="F5">
        <f t="shared" si="0"/>
        <v>0.82276333333333318</v>
      </c>
      <c r="H5">
        <v>0.51800000000000002</v>
      </c>
      <c r="I5">
        <v>0.71299999999999997</v>
      </c>
      <c r="J5">
        <v>1.254</v>
      </c>
      <c r="K5">
        <f t="shared" ref="K4:K16" si="1">AVERAGE(H5:J5)</f>
        <v>0.82833333333333325</v>
      </c>
      <c r="L5">
        <f>F5*K5</f>
        <v>0.68152229444444423</v>
      </c>
      <c r="N5">
        <v>0.45606000000000002</v>
      </c>
      <c r="O5">
        <v>0.82835999999999999</v>
      </c>
      <c r="P5">
        <v>1.29084</v>
      </c>
      <c r="R5">
        <v>0.39100000000000001</v>
      </c>
      <c r="S5">
        <v>0.64</v>
      </c>
      <c r="T5">
        <v>1.0940000000000001</v>
      </c>
    </row>
    <row r="6" spans="1:20">
      <c r="A6">
        <v>4</v>
      </c>
      <c r="C6">
        <v>0.59809000000000001</v>
      </c>
      <c r="D6">
        <v>1.0422899999999999</v>
      </c>
      <c r="E6">
        <v>1.5525899999999999</v>
      </c>
      <c r="F6">
        <f t="shared" si="0"/>
        <v>1.0643233333333333</v>
      </c>
      <c r="H6">
        <v>0.127</v>
      </c>
      <c r="I6">
        <v>0.27800000000000002</v>
      </c>
      <c r="J6">
        <v>0.81700000000000006</v>
      </c>
      <c r="K6">
        <f t="shared" si="1"/>
        <v>0.40733333333333333</v>
      </c>
      <c r="L6">
        <f>F6*K6</f>
        <v>0.43353437111111109</v>
      </c>
      <c r="N6">
        <v>0.42432999999999998</v>
      </c>
      <c r="O6">
        <v>0.79691999999999996</v>
      </c>
      <c r="P6">
        <v>1.2856399999999999</v>
      </c>
      <c r="R6">
        <v>0.73299999999999998</v>
      </c>
      <c r="S6">
        <v>0.87899999999999989</v>
      </c>
      <c r="T6">
        <v>1.2989999999999999</v>
      </c>
    </row>
    <row r="7" spans="1:20">
      <c r="A7">
        <v>5</v>
      </c>
      <c r="C7">
        <v>0.40639999999999998</v>
      </c>
      <c r="D7">
        <v>0.75210999999999995</v>
      </c>
      <c r="E7">
        <v>1.1997100000000001</v>
      </c>
      <c r="F7">
        <f t="shared" si="0"/>
        <v>0.7860733333333334</v>
      </c>
      <c r="H7">
        <v>0.127</v>
      </c>
      <c r="I7">
        <v>0.26400000000000001</v>
      </c>
      <c r="J7">
        <v>0.90799999999999992</v>
      </c>
      <c r="K7">
        <f t="shared" si="1"/>
        <v>0.433</v>
      </c>
      <c r="L7">
        <f>F7*K7</f>
        <v>0.34036975333333336</v>
      </c>
      <c r="N7">
        <v>0.50004999999999999</v>
      </c>
      <c r="O7">
        <v>0.90075000000000005</v>
      </c>
      <c r="P7">
        <v>1.3867400000000001</v>
      </c>
      <c r="R7">
        <v>0.72300000000000009</v>
      </c>
      <c r="S7">
        <v>1.06</v>
      </c>
      <c r="T7">
        <v>1.6439999999999999</v>
      </c>
    </row>
    <row r="8" spans="1:20">
      <c r="A8">
        <v>6</v>
      </c>
      <c r="C8">
        <v>0.4375</v>
      </c>
      <c r="D8">
        <v>0.78108999999999995</v>
      </c>
      <c r="E8">
        <v>1.21835</v>
      </c>
      <c r="F8">
        <f t="shared" si="0"/>
        <v>0.81231333333333333</v>
      </c>
      <c r="H8">
        <v>0.60599999999999998</v>
      </c>
      <c r="I8">
        <v>0.71299999999999997</v>
      </c>
      <c r="J8">
        <v>1.1879999999999999</v>
      </c>
      <c r="K8">
        <f t="shared" si="1"/>
        <v>0.83566666666666656</v>
      </c>
      <c r="L8">
        <f>F8*K8</f>
        <v>0.67882317555555549</v>
      </c>
      <c r="N8">
        <v>0.39384999999999998</v>
      </c>
      <c r="O8">
        <v>0.73448999999999998</v>
      </c>
      <c r="P8">
        <v>1.1786700000000001</v>
      </c>
      <c r="R8">
        <v>0.33200000000000002</v>
      </c>
      <c r="S8">
        <v>0.61</v>
      </c>
      <c r="T8">
        <v>1.026</v>
      </c>
    </row>
    <row r="9" spans="1:20">
      <c r="A9">
        <v>7</v>
      </c>
      <c r="C9">
        <v>0.47910000000000003</v>
      </c>
      <c r="D9">
        <v>0.86885999999999997</v>
      </c>
      <c r="E9">
        <v>1.3573500000000001</v>
      </c>
      <c r="F9">
        <f t="shared" si="0"/>
        <v>0.90176999999999996</v>
      </c>
      <c r="H9">
        <v>0.107</v>
      </c>
      <c r="I9">
        <v>0.151</v>
      </c>
      <c r="J9">
        <v>0.63800000000000001</v>
      </c>
      <c r="K9">
        <f t="shared" si="1"/>
        <v>0.29866666666666669</v>
      </c>
      <c r="L9">
        <f>F9*K9</f>
        <v>0.26932864000000001</v>
      </c>
      <c r="N9">
        <v>0.67547000000000001</v>
      </c>
      <c r="O9">
        <v>1.1470899999999999</v>
      </c>
      <c r="P9">
        <v>1.6739999999999999</v>
      </c>
      <c r="R9">
        <v>0.73299999999999998</v>
      </c>
      <c r="S9">
        <v>1.0349999999999999</v>
      </c>
      <c r="T9">
        <v>1.6180000000000001</v>
      </c>
    </row>
    <row r="10" spans="1:20">
      <c r="A10">
        <v>8</v>
      </c>
      <c r="C10">
        <v>0.55281999999999998</v>
      </c>
      <c r="D10">
        <v>0.97670999999999997</v>
      </c>
      <c r="E10">
        <v>1.49414</v>
      </c>
      <c r="F10">
        <f t="shared" si="0"/>
        <v>1.00789</v>
      </c>
      <c r="H10">
        <v>0.11700000000000001</v>
      </c>
      <c r="I10">
        <v>0.21</v>
      </c>
      <c r="J10">
        <v>0.72899999999999998</v>
      </c>
      <c r="K10">
        <f t="shared" si="1"/>
        <v>0.35200000000000004</v>
      </c>
      <c r="L10">
        <f>F10*K10</f>
        <v>0.35477728000000003</v>
      </c>
      <c r="N10">
        <v>0.60177000000000003</v>
      </c>
      <c r="O10">
        <v>1.05965</v>
      </c>
      <c r="P10">
        <v>1.58308</v>
      </c>
      <c r="R10">
        <v>0.73299999999999998</v>
      </c>
      <c r="S10">
        <v>1.026</v>
      </c>
      <c r="T10">
        <v>1.716</v>
      </c>
    </row>
    <row r="11" spans="1:20">
      <c r="A11">
        <v>9</v>
      </c>
      <c r="C11" s="1">
        <v>0.35885</v>
      </c>
      <c r="D11" s="1">
        <v>0.68335999999999997</v>
      </c>
      <c r="E11" s="1">
        <v>1.11267</v>
      </c>
      <c r="F11" s="1">
        <f t="shared" si="0"/>
        <v>0.71829333333333334</v>
      </c>
      <c r="G11" s="1"/>
      <c r="H11" s="1">
        <v>0.107</v>
      </c>
      <c r="I11" s="1">
        <v>0.17100000000000001</v>
      </c>
      <c r="J11" s="1">
        <v>0.59300000000000008</v>
      </c>
      <c r="K11" s="1">
        <f t="shared" si="1"/>
        <v>0.29033333333333339</v>
      </c>
      <c r="L11" s="1">
        <f>F11*K11</f>
        <v>0.20854449777777781</v>
      </c>
      <c r="N11">
        <v>0.39607999999999999</v>
      </c>
      <c r="O11">
        <v>0.73445000000000005</v>
      </c>
      <c r="P11">
        <v>1.17035</v>
      </c>
      <c r="R11">
        <v>0.41</v>
      </c>
      <c r="S11">
        <v>0.67400000000000004</v>
      </c>
      <c r="T11">
        <v>1.1919999999999999</v>
      </c>
    </row>
    <row r="12" spans="1:20">
      <c r="A12">
        <v>10</v>
      </c>
      <c r="C12">
        <v>0.33207999999999999</v>
      </c>
      <c r="D12">
        <v>0.63793</v>
      </c>
      <c r="E12">
        <v>1.05375</v>
      </c>
      <c r="F12">
        <f t="shared" si="0"/>
        <v>0.67458666666666678</v>
      </c>
      <c r="H12">
        <v>0.65400000000000003</v>
      </c>
      <c r="I12">
        <v>0.747</v>
      </c>
      <c r="J12">
        <v>1.169</v>
      </c>
      <c r="K12">
        <f t="shared" si="1"/>
        <v>0.8566666666666668</v>
      </c>
      <c r="L12">
        <f>F12*K12</f>
        <v>0.57789591111111127</v>
      </c>
      <c r="N12">
        <v>0.40293000000000001</v>
      </c>
      <c r="O12">
        <v>0.74297000000000002</v>
      </c>
      <c r="P12">
        <v>1.1805399999999999</v>
      </c>
      <c r="R12">
        <v>0.57600000000000007</v>
      </c>
      <c r="S12">
        <v>0.747</v>
      </c>
      <c r="T12">
        <v>1.2110000000000001</v>
      </c>
    </row>
    <row r="13" spans="1:20">
      <c r="A13">
        <v>11</v>
      </c>
      <c r="C13">
        <v>0.36149999999999999</v>
      </c>
      <c r="D13">
        <v>0.68694</v>
      </c>
      <c r="E13">
        <v>1.11948</v>
      </c>
      <c r="F13">
        <f>AVERAGE(C13:E13)</f>
        <v>0.72264000000000006</v>
      </c>
      <c r="H13">
        <v>0.44</v>
      </c>
      <c r="I13">
        <v>0.69300000000000006</v>
      </c>
      <c r="J13">
        <v>1.1619999999999999</v>
      </c>
      <c r="K13">
        <f>AVERAGE(H13:J13)</f>
        <v>0.76500000000000001</v>
      </c>
      <c r="L13">
        <f>F13*K13</f>
        <v>0.55281960000000008</v>
      </c>
      <c r="N13">
        <v>0.72316999999999998</v>
      </c>
      <c r="O13">
        <v>1.25742</v>
      </c>
      <c r="P13">
        <v>1.8533999999999999</v>
      </c>
      <c r="R13">
        <v>0.52700000000000002</v>
      </c>
      <c r="S13">
        <v>0.91299999999999992</v>
      </c>
      <c r="T13">
        <v>1.651</v>
      </c>
    </row>
    <row r="14" spans="1:20">
      <c r="A14">
        <v>12</v>
      </c>
      <c r="C14">
        <v>0.34536</v>
      </c>
      <c r="D14">
        <v>0.65846000000000005</v>
      </c>
      <c r="E14">
        <v>1.07742</v>
      </c>
      <c r="F14">
        <f t="shared" si="0"/>
        <v>0.69374666666666673</v>
      </c>
      <c r="H14">
        <v>0.61499999999999999</v>
      </c>
      <c r="I14">
        <v>0.625</v>
      </c>
      <c r="J14">
        <v>0.90799999999999992</v>
      </c>
      <c r="K14">
        <f t="shared" si="1"/>
        <v>0.71599999999999986</v>
      </c>
      <c r="L14">
        <f>F14*K14</f>
        <v>0.49672261333333328</v>
      </c>
      <c r="N14">
        <v>0.47499000000000002</v>
      </c>
      <c r="O14">
        <v>0.87270000000000003</v>
      </c>
      <c r="P14">
        <v>1.3747400000000001</v>
      </c>
      <c r="R14">
        <v>0.57600000000000007</v>
      </c>
      <c r="S14">
        <v>0.79600000000000004</v>
      </c>
      <c r="T14">
        <v>1.25</v>
      </c>
    </row>
    <row r="15" spans="1:20">
      <c r="A15">
        <v>13</v>
      </c>
      <c r="C15">
        <v>0.33772999999999997</v>
      </c>
      <c r="D15">
        <v>0.65234000000000003</v>
      </c>
      <c r="E15">
        <v>1.07334</v>
      </c>
      <c r="F15">
        <f t="shared" si="0"/>
        <v>0.68780333333333343</v>
      </c>
      <c r="H15">
        <v>0.55700000000000005</v>
      </c>
      <c r="I15">
        <v>0.52700000000000002</v>
      </c>
      <c r="J15">
        <v>0.82000000000000006</v>
      </c>
      <c r="K15">
        <f t="shared" si="1"/>
        <v>0.63466666666666671</v>
      </c>
      <c r="L15">
        <f>F15*K15</f>
        <v>0.43652584888888896</v>
      </c>
      <c r="N15">
        <v>0.37652000000000002</v>
      </c>
      <c r="O15">
        <v>0.71347000000000005</v>
      </c>
      <c r="P15">
        <v>1.14958</v>
      </c>
      <c r="R15">
        <v>0.69300000000000006</v>
      </c>
      <c r="S15">
        <v>0.81099999999999994</v>
      </c>
      <c r="T15">
        <v>1.286</v>
      </c>
    </row>
    <row r="16" spans="1:20">
      <c r="A16">
        <v>14</v>
      </c>
      <c r="C16">
        <v>0.36209000000000002</v>
      </c>
      <c r="D16">
        <v>0.69740000000000002</v>
      </c>
      <c r="E16">
        <v>1.1473899999999999</v>
      </c>
      <c r="F16">
        <f t="shared" si="0"/>
        <v>0.73562666666666665</v>
      </c>
      <c r="H16">
        <v>0.38100000000000001</v>
      </c>
      <c r="I16">
        <v>0.317</v>
      </c>
      <c r="J16">
        <v>0.70699999999999996</v>
      </c>
      <c r="K16">
        <f t="shared" si="1"/>
        <v>0.46833333333333327</v>
      </c>
      <c r="L16">
        <f>F16*K16</f>
        <v>0.34451848888888881</v>
      </c>
      <c r="N16">
        <v>0.38873999999999997</v>
      </c>
      <c r="O16">
        <v>0.74065999999999999</v>
      </c>
      <c r="P16">
        <v>1.18953</v>
      </c>
      <c r="R16">
        <v>0.89900000000000002</v>
      </c>
      <c r="S16">
        <v>1.1379999999999999</v>
      </c>
      <c r="T16">
        <v>1.6339999999999999</v>
      </c>
    </row>
    <row r="17" spans="1:20">
      <c r="A17">
        <v>15</v>
      </c>
      <c r="C17">
        <v>0.32762000000000002</v>
      </c>
      <c r="D17">
        <v>0.65163000000000004</v>
      </c>
      <c r="E17">
        <v>1.0962799999999999</v>
      </c>
      <c r="F17">
        <f t="shared" si="0"/>
        <v>0.69184333333333337</v>
      </c>
      <c r="H17">
        <v>0.69300000000000006</v>
      </c>
      <c r="I17">
        <v>0.64500000000000002</v>
      </c>
      <c r="J17">
        <v>0.8630000000000001</v>
      </c>
      <c r="K17">
        <f>AVERAGE(H17:J17)</f>
        <v>0.73366666666666669</v>
      </c>
      <c r="L17">
        <f>F17*K17</f>
        <v>0.50758239222222223</v>
      </c>
      <c r="N17">
        <v>0.41020000000000001</v>
      </c>
      <c r="O17">
        <v>0.77334000000000003</v>
      </c>
      <c r="P17">
        <v>1.2315499999999999</v>
      </c>
      <c r="R17">
        <v>0.91800000000000004</v>
      </c>
      <c r="S17">
        <v>1.143</v>
      </c>
      <c r="T17">
        <v>1.657</v>
      </c>
    </row>
    <row r="18" spans="1:20">
      <c r="A18">
        <v>16</v>
      </c>
      <c r="C18">
        <v>0.32294</v>
      </c>
      <c r="D18">
        <v>0.64383999999999997</v>
      </c>
      <c r="E18">
        <v>1.0868599999999999</v>
      </c>
      <c r="F18">
        <f>AVERAGE(C18:E18)</f>
        <v>0.68454666666666653</v>
      </c>
      <c r="H18">
        <v>0.107</v>
      </c>
      <c r="I18">
        <v>0.19</v>
      </c>
      <c r="J18">
        <v>0.63200000000000001</v>
      </c>
      <c r="K18">
        <f>AVERAGE(H18:J18)</f>
        <v>0.3096666666666667</v>
      </c>
      <c r="L18">
        <f>F18*K18</f>
        <v>0.21198128444444442</v>
      </c>
      <c r="N18">
        <v>0.73341000000000001</v>
      </c>
      <c r="O18">
        <v>1.2715700000000001</v>
      </c>
      <c r="P18">
        <v>1.8770500000000001</v>
      </c>
      <c r="R18">
        <v>0.80099999999999993</v>
      </c>
      <c r="S18">
        <v>1.2749999999999999</v>
      </c>
      <c r="T18">
        <v>2.08</v>
      </c>
    </row>
    <row r="19" spans="1:20">
      <c r="A19">
        <v>17</v>
      </c>
      <c r="C19">
        <v>0.31707000000000002</v>
      </c>
      <c r="D19">
        <v>0.62985999999999998</v>
      </c>
      <c r="E19">
        <v>1.0582499999999999</v>
      </c>
      <c r="F19">
        <f t="shared" si="0"/>
        <v>0.66839333333333339</v>
      </c>
      <c r="H19">
        <v>0.54700000000000004</v>
      </c>
      <c r="I19">
        <v>0.41499999999999998</v>
      </c>
      <c r="J19">
        <v>0.746</v>
      </c>
      <c r="K19">
        <f t="shared" ref="K19:K26" si="2">AVERAGE(H19:J19)</f>
        <v>0.56933333333333336</v>
      </c>
      <c r="L19">
        <f>F19*K19</f>
        <v>0.38053860444444448</v>
      </c>
      <c r="N19">
        <v>0.35803000000000001</v>
      </c>
      <c r="O19">
        <v>0.70126999999999995</v>
      </c>
      <c r="P19">
        <v>1.14775</v>
      </c>
      <c r="R19">
        <v>0.86899999999999999</v>
      </c>
      <c r="S19">
        <v>1.1180000000000001</v>
      </c>
      <c r="T19">
        <v>1.6120000000000001</v>
      </c>
    </row>
    <row r="20" spans="1:20">
      <c r="A20">
        <v>18</v>
      </c>
      <c r="C20">
        <v>0.39982000000000001</v>
      </c>
      <c r="D20">
        <v>0.75305999999999995</v>
      </c>
      <c r="E20">
        <v>1.2111799999999999</v>
      </c>
      <c r="F20">
        <f t="shared" si="0"/>
        <v>0.78801999999999994</v>
      </c>
      <c r="H20">
        <v>0.70299999999999996</v>
      </c>
      <c r="I20">
        <v>0.74199999999999999</v>
      </c>
      <c r="J20">
        <v>1.1000000000000001</v>
      </c>
      <c r="K20">
        <f t="shared" si="2"/>
        <v>0.84833333333333327</v>
      </c>
      <c r="L20">
        <f>F20*K20</f>
        <v>0.66850363333333329</v>
      </c>
      <c r="N20">
        <v>0.34906999999999999</v>
      </c>
      <c r="O20">
        <v>0.68733999999999995</v>
      </c>
      <c r="P20">
        <v>1.1377900000000001</v>
      </c>
      <c r="R20">
        <v>0.86</v>
      </c>
      <c r="S20">
        <v>1.0940000000000001</v>
      </c>
      <c r="T20">
        <v>1.5860000000000001</v>
      </c>
    </row>
    <row r="21" spans="1:20">
      <c r="A21">
        <v>19</v>
      </c>
      <c r="C21">
        <v>0.33495000000000003</v>
      </c>
      <c r="D21">
        <v>0.66518999999999995</v>
      </c>
      <c r="E21">
        <v>1.1171599999999999</v>
      </c>
      <c r="F21">
        <f t="shared" si="0"/>
        <v>0.70576666666666676</v>
      </c>
      <c r="H21">
        <v>0.29299999999999998</v>
      </c>
      <c r="I21">
        <v>0.27800000000000002</v>
      </c>
      <c r="J21">
        <v>0.625</v>
      </c>
      <c r="K21">
        <f t="shared" si="2"/>
        <v>0.39866666666666667</v>
      </c>
      <c r="L21">
        <f>F21*K21</f>
        <v>0.28136564444444451</v>
      </c>
      <c r="N21">
        <v>0.34554000000000001</v>
      </c>
      <c r="O21">
        <v>0.68691999999999998</v>
      </c>
      <c r="P21">
        <v>1.1407400000000001</v>
      </c>
      <c r="R21">
        <v>0.84</v>
      </c>
      <c r="S21">
        <v>1.0940000000000001</v>
      </c>
      <c r="T21">
        <v>1.615</v>
      </c>
    </row>
    <row r="22" spans="1:20">
      <c r="A22">
        <v>20</v>
      </c>
      <c r="C22">
        <v>0.33204</v>
      </c>
      <c r="D22">
        <v>0.66464000000000001</v>
      </c>
      <c r="E22">
        <v>1.1191199999999999</v>
      </c>
      <c r="F22">
        <f t="shared" si="0"/>
        <v>0.70526666666666671</v>
      </c>
      <c r="H22">
        <v>0.59599999999999997</v>
      </c>
      <c r="I22">
        <v>0.47899999999999998</v>
      </c>
      <c r="J22">
        <v>0.84299999999999997</v>
      </c>
      <c r="K22">
        <f t="shared" si="2"/>
        <v>0.63933333333333331</v>
      </c>
      <c r="L22">
        <f>F22*K22</f>
        <v>0.4509004888888889</v>
      </c>
      <c r="N22">
        <v>0.36591000000000001</v>
      </c>
      <c r="O22">
        <v>0.72485999999999995</v>
      </c>
      <c r="P22">
        <v>1.19625</v>
      </c>
      <c r="R22">
        <v>0.498</v>
      </c>
      <c r="S22">
        <v>0.93299999999999994</v>
      </c>
      <c r="T22">
        <v>1.4750000000000001</v>
      </c>
    </row>
    <row r="23" spans="1:20">
      <c r="A23">
        <v>21</v>
      </c>
      <c r="C23">
        <v>0.32079999999999997</v>
      </c>
      <c r="D23">
        <v>0.64266000000000001</v>
      </c>
      <c r="E23">
        <v>1.08361</v>
      </c>
      <c r="F23">
        <f>AVERAGE(C23:E23)</f>
        <v>0.68235666666666661</v>
      </c>
      <c r="H23">
        <v>0.4</v>
      </c>
      <c r="I23">
        <v>0.34699999999999998</v>
      </c>
      <c r="J23">
        <v>0.67999999999999994</v>
      </c>
      <c r="K23">
        <f t="shared" si="2"/>
        <v>0.47566666666666668</v>
      </c>
      <c r="L23">
        <f>F23*K23</f>
        <v>0.32457432111111112</v>
      </c>
      <c r="N23">
        <v>0.33843000000000001</v>
      </c>
      <c r="O23">
        <v>0.67452000000000001</v>
      </c>
      <c r="P23">
        <v>1.1256999999999999</v>
      </c>
      <c r="R23">
        <v>0.35199999999999998</v>
      </c>
      <c r="S23">
        <v>0.57600000000000007</v>
      </c>
      <c r="T23">
        <v>1.0940000000000001</v>
      </c>
    </row>
    <row r="24" spans="1:20">
      <c r="A24">
        <v>22</v>
      </c>
      <c r="C24">
        <v>0.32124999999999998</v>
      </c>
      <c r="D24">
        <v>0.64422000000000001</v>
      </c>
      <c r="E24">
        <v>1.0888800000000001</v>
      </c>
      <c r="F24">
        <f t="shared" si="0"/>
        <v>0.68478333333333341</v>
      </c>
      <c r="H24">
        <v>0.60599999999999998</v>
      </c>
      <c r="I24">
        <v>0.49299999999999999</v>
      </c>
      <c r="J24">
        <v>0.76800000000000002</v>
      </c>
      <c r="K24">
        <f t="shared" si="2"/>
        <v>0.62233333333333329</v>
      </c>
      <c r="L24">
        <f>F24*K24</f>
        <v>0.42616349444444446</v>
      </c>
      <c r="N24">
        <v>0.32962000000000002</v>
      </c>
      <c r="O24">
        <v>0.65895000000000004</v>
      </c>
      <c r="P24">
        <v>1.1048899999999999</v>
      </c>
      <c r="R24">
        <v>0.41</v>
      </c>
      <c r="S24">
        <v>0.75700000000000001</v>
      </c>
      <c r="T24">
        <v>1.28</v>
      </c>
    </row>
    <row r="25" spans="1:20">
      <c r="A25">
        <v>23</v>
      </c>
      <c r="C25">
        <v>0.30589</v>
      </c>
      <c r="D25">
        <v>0.61973999999999996</v>
      </c>
      <c r="E25">
        <v>1.0565800000000001</v>
      </c>
      <c r="F25">
        <f t="shared" si="0"/>
        <v>0.66073666666666664</v>
      </c>
      <c r="H25">
        <v>0.45900000000000002</v>
      </c>
      <c r="I25">
        <v>0.376</v>
      </c>
      <c r="J25">
        <v>0.68399999999999994</v>
      </c>
      <c r="K25">
        <f t="shared" si="2"/>
        <v>0.5063333333333333</v>
      </c>
      <c r="L25">
        <f>F25*K25</f>
        <v>0.33455299888888884</v>
      </c>
      <c r="N25">
        <v>0.3352</v>
      </c>
      <c r="O25">
        <v>0.67198999999999998</v>
      </c>
      <c r="P25">
        <v>1.1243700000000001</v>
      </c>
      <c r="R25">
        <v>0.77200000000000002</v>
      </c>
      <c r="S25">
        <v>0.94299999999999995</v>
      </c>
      <c r="T25">
        <v>1.3839999999999999</v>
      </c>
    </row>
    <row r="26" spans="1:20">
      <c r="A26">
        <v>24</v>
      </c>
      <c r="C26">
        <v>0.30947999999999998</v>
      </c>
      <c r="D26">
        <v>0.62626000000000004</v>
      </c>
      <c r="E26">
        <v>1.0654699999999999</v>
      </c>
      <c r="F26">
        <f>AVERAGE(C26:E26)</f>
        <v>0.66706999999999994</v>
      </c>
      <c r="H26">
        <v>0.63500000000000001</v>
      </c>
      <c r="I26">
        <v>0.53200000000000003</v>
      </c>
      <c r="J26">
        <v>0.78800000000000003</v>
      </c>
      <c r="K26">
        <f t="shared" si="2"/>
        <v>0.65166666666666673</v>
      </c>
      <c r="L26">
        <f>F26*K26</f>
        <v>0.43470728333333336</v>
      </c>
      <c r="N26">
        <v>0.33677000000000001</v>
      </c>
      <c r="O26">
        <v>0.67484</v>
      </c>
      <c r="P26">
        <v>1.12774</v>
      </c>
      <c r="R26">
        <v>0.67400000000000004</v>
      </c>
      <c r="S26">
        <v>0.88400000000000012</v>
      </c>
      <c r="T26">
        <v>1.3480000000000001</v>
      </c>
    </row>
    <row r="27" spans="1:20">
      <c r="L27">
        <f>MIN(L3:L26)</f>
        <v>0.20854449777777781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硝基苯</cp:lastModifiedBy>
  <dcterms:created xsi:type="dcterms:W3CDTF">2026-03-28T02:53:20Z</dcterms:created>
  <dcterms:modified xsi:type="dcterms:W3CDTF">2026-03-29T01:55:48Z</dcterms:modified>
</cp:coreProperties>
</file>