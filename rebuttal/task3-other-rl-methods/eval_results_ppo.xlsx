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rojects\driving_world_model\icml_material\rebuttal\task3\"/>
    </mc:Choice>
  </mc:AlternateContent>
  <xr:revisionPtr revIDLastSave="0" documentId="13_ncr:1_{B001BA58-E43C-4C19-ACC6-4E0415B00E9F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val_metrics" sheetId="1" r:id="rId1"/>
  </sheets>
  <calcPr calcId="191029"/>
</workbook>
</file>

<file path=xl/calcChain.xml><?xml version="1.0" encoding="utf-8"?>
<calcChain xmlns="http://schemas.openxmlformats.org/spreadsheetml/2006/main">
  <c r="M26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<sst xmlns="http://schemas.openxmlformats.org/spreadsheetml/2006/main" count="13" uniqueCount="7">
  <si>
    <t>epoch</t>
  </si>
  <si>
    <t>L2 (1s)</t>
  </si>
  <si>
    <t>L2 (2s)</t>
  </si>
  <si>
    <t>L2 (3s)</t>
  </si>
  <si>
    <t>Col (1s)</t>
  </si>
  <si>
    <t>Col (2s)</t>
  </si>
  <si>
    <t>Col (3s)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</si>
</sst>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M30" sqref="M30"/>
    </sheetView>
  </sheetViews>
  <sheetFormatPr defaultRowHeight="14.5"/>
  <sheetData>
    <row r="1" spans="1:21">
      <c r="A1" t="s">
        <v>0</v>
      </c>
      <c r="C1" t="s">
        <v>1</v>
      </c>
      <c r="D1" t="s">
        <v>2</v>
      </c>
      <c r="E1" t="s">
        <v>3</v>
      </c>
      <c r="I1" t="s">
        <v>4</v>
      </c>
      <c r="J1" t="s">
        <v>5</v>
      </c>
      <c r="K1" t="s">
        <v>6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</row>
    <row r="2" spans="1:21">
      <c r="A2">
        <v>1</v>
      </c>
      <c r="C2">
        <v>2.2349299999999999</v>
      </c>
      <c r="D2">
        <v>3.7317999999999998</v>
      </c>
      <c r="E2">
        <v>5.2341699999999998</v>
      </c>
      <c r="F2">
        <f>AVERAGE(C2:E2)</f>
        <v>3.7336333333333336</v>
      </c>
      <c r="I2">
        <v>2.8130000000000002</v>
      </c>
      <c r="J2">
        <v>5.343</v>
      </c>
      <c r="K2">
        <v>6.3230000000000004</v>
      </c>
      <c r="L2">
        <f>AVERAGE(I2:K2)</f>
        <v>4.8263333333333334</v>
      </c>
      <c r="M2">
        <f>F2*L2</f>
        <v>18.019759011111113</v>
      </c>
      <c r="P2">
        <v>2.2852999999999999</v>
      </c>
      <c r="Q2">
        <v>3.78952</v>
      </c>
      <c r="R2">
        <v>5.2947699999999998</v>
      </c>
      <c r="S2">
        <v>3.653</v>
      </c>
      <c r="T2">
        <v>5.8170000000000002</v>
      </c>
      <c r="U2">
        <v>6.8049999999999997</v>
      </c>
    </row>
    <row r="3" spans="1:21">
      <c r="A3">
        <v>2</v>
      </c>
      <c r="C3">
        <v>1.24824</v>
      </c>
      <c r="D3">
        <v>2.1036600000000001</v>
      </c>
      <c r="E3">
        <v>2.99682</v>
      </c>
      <c r="F3">
        <f t="shared" ref="F3:F25" si="0">AVERAGE(C3:E3)</f>
        <v>2.1162399999999999</v>
      </c>
      <c r="I3">
        <v>0.69300000000000006</v>
      </c>
      <c r="J3">
        <v>1.026</v>
      </c>
      <c r="K3">
        <v>1.853</v>
      </c>
      <c r="L3">
        <f t="shared" ref="L3:L25" si="1">AVERAGE(I3:K3)</f>
        <v>1.1906666666666668</v>
      </c>
      <c r="M3">
        <f t="shared" ref="M3:M25" si="2">F3*L3</f>
        <v>2.5197364266666669</v>
      </c>
      <c r="P3">
        <v>1.5176400000000001</v>
      </c>
      <c r="Q3">
        <v>2.55043</v>
      </c>
      <c r="R3">
        <v>3.6253799999999998</v>
      </c>
      <c r="S3">
        <v>1.377</v>
      </c>
      <c r="T3">
        <v>1.7869999999999999</v>
      </c>
      <c r="U3">
        <v>2.6440000000000001</v>
      </c>
    </row>
    <row r="4" spans="1:21">
      <c r="A4">
        <v>3</v>
      </c>
      <c r="C4">
        <v>0.53796999999999995</v>
      </c>
      <c r="D4">
        <v>0.95509999999999995</v>
      </c>
      <c r="E4">
        <v>1.4589000000000001</v>
      </c>
      <c r="F4">
        <f t="shared" si="0"/>
        <v>0.98399000000000003</v>
      </c>
      <c r="I4">
        <v>0.127</v>
      </c>
      <c r="J4">
        <v>0.254</v>
      </c>
      <c r="K4">
        <v>0.72599999999999998</v>
      </c>
      <c r="L4">
        <f t="shared" si="1"/>
        <v>0.36899999999999999</v>
      </c>
      <c r="M4">
        <f t="shared" si="2"/>
        <v>0.36309231000000003</v>
      </c>
      <c r="P4">
        <v>1.40141</v>
      </c>
      <c r="Q4">
        <v>2.34226</v>
      </c>
      <c r="R4">
        <v>3.2978800000000001</v>
      </c>
      <c r="S4">
        <v>1.9730000000000001</v>
      </c>
      <c r="T4">
        <v>2.984</v>
      </c>
      <c r="U4">
        <v>4.07</v>
      </c>
    </row>
    <row r="5" spans="1:21">
      <c r="A5">
        <v>4</v>
      </c>
      <c r="C5">
        <v>0.56871000000000005</v>
      </c>
      <c r="D5">
        <v>0.97299000000000002</v>
      </c>
      <c r="E5">
        <v>1.4478800000000001</v>
      </c>
      <c r="F5">
        <f t="shared" si="0"/>
        <v>0.99652666666666667</v>
      </c>
      <c r="I5">
        <v>0.13700000000000001</v>
      </c>
      <c r="J5">
        <v>0.23400000000000001</v>
      </c>
      <c r="K5">
        <v>0.82000000000000006</v>
      </c>
      <c r="L5">
        <f t="shared" si="1"/>
        <v>0.39700000000000002</v>
      </c>
      <c r="M5">
        <f t="shared" si="2"/>
        <v>0.39562108666666668</v>
      </c>
      <c r="P5">
        <v>0.50797000000000003</v>
      </c>
      <c r="Q5">
        <v>0.89863999999999999</v>
      </c>
      <c r="R5">
        <v>1.3915599999999999</v>
      </c>
      <c r="S5">
        <v>0.53699999999999992</v>
      </c>
      <c r="T5">
        <v>0.85000000000000009</v>
      </c>
      <c r="U5">
        <v>1.5009999999999999</v>
      </c>
    </row>
    <row r="6" spans="1:21">
      <c r="A6">
        <v>5</v>
      </c>
      <c r="C6">
        <v>0.77081999999999995</v>
      </c>
      <c r="D6">
        <v>1.33369</v>
      </c>
      <c r="E6">
        <v>1.9542600000000001</v>
      </c>
      <c r="F6">
        <f t="shared" si="0"/>
        <v>1.3529233333333333</v>
      </c>
      <c r="I6">
        <v>0.66400000000000003</v>
      </c>
      <c r="J6">
        <v>0.92800000000000005</v>
      </c>
      <c r="K6">
        <v>1.6739999999999999</v>
      </c>
      <c r="L6">
        <f t="shared" si="1"/>
        <v>1.0886666666666667</v>
      </c>
      <c r="M6">
        <f t="shared" si="2"/>
        <v>1.4728825355555555</v>
      </c>
      <c r="P6">
        <v>0.55935000000000001</v>
      </c>
      <c r="Q6">
        <v>0.95362000000000002</v>
      </c>
      <c r="R6">
        <v>1.4355800000000001</v>
      </c>
      <c r="S6">
        <v>1.26</v>
      </c>
      <c r="T6">
        <v>1.5580000000000001</v>
      </c>
      <c r="U6">
        <v>2.048</v>
      </c>
    </row>
    <row r="7" spans="1:21">
      <c r="A7">
        <v>6</v>
      </c>
      <c r="C7">
        <v>0.35626000000000002</v>
      </c>
      <c r="D7">
        <v>0.67644000000000004</v>
      </c>
      <c r="E7">
        <v>1.1008100000000001</v>
      </c>
      <c r="F7">
        <f t="shared" si="0"/>
        <v>0.71117000000000008</v>
      </c>
      <c r="I7">
        <v>0.64500000000000002</v>
      </c>
      <c r="J7">
        <v>0.75700000000000001</v>
      </c>
      <c r="K7">
        <v>1.1850000000000001</v>
      </c>
      <c r="L7">
        <f t="shared" si="1"/>
        <v>0.8623333333333334</v>
      </c>
      <c r="M7">
        <f t="shared" si="2"/>
        <v>0.6132655966666668</v>
      </c>
      <c r="P7">
        <v>0.33903</v>
      </c>
      <c r="Q7">
        <v>0.65329000000000004</v>
      </c>
      <c r="R7">
        <v>1.08371</v>
      </c>
      <c r="S7">
        <v>0.87899999999999989</v>
      </c>
      <c r="T7">
        <v>1.1619999999999999</v>
      </c>
      <c r="U7">
        <v>1.579</v>
      </c>
    </row>
    <row r="8" spans="1:21">
      <c r="A8">
        <v>7</v>
      </c>
      <c r="C8">
        <v>0.41243999999999997</v>
      </c>
      <c r="D8">
        <v>0.77054</v>
      </c>
      <c r="E8">
        <v>1.22899</v>
      </c>
      <c r="F8">
        <f t="shared" si="0"/>
        <v>0.80399000000000009</v>
      </c>
      <c r="I8">
        <v>0.61499999999999999</v>
      </c>
      <c r="J8">
        <v>0.77200000000000002</v>
      </c>
      <c r="K8">
        <v>1.27</v>
      </c>
      <c r="L8">
        <f t="shared" si="1"/>
        <v>0.88566666666666671</v>
      </c>
      <c r="M8">
        <f t="shared" si="2"/>
        <v>0.71206714333333343</v>
      </c>
      <c r="P8">
        <v>0.32837</v>
      </c>
      <c r="Q8">
        <v>0.63392999999999999</v>
      </c>
      <c r="R8">
        <v>1.04989</v>
      </c>
      <c r="S8">
        <v>0.38100000000000001</v>
      </c>
      <c r="T8">
        <v>0.83499999999999996</v>
      </c>
      <c r="U8">
        <v>1.3839999999999999</v>
      </c>
    </row>
    <row r="9" spans="1:21">
      <c r="A9">
        <v>8</v>
      </c>
      <c r="C9">
        <v>0.63958999999999999</v>
      </c>
      <c r="D9">
        <v>1.1289899999999999</v>
      </c>
      <c r="E9">
        <v>1.69723</v>
      </c>
      <c r="F9">
        <f t="shared" si="0"/>
        <v>1.15527</v>
      </c>
      <c r="I9">
        <v>0.107</v>
      </c>
      <c r="J9">
        <v>0.36099999999999999</v>
      </c>
      <c r="K9">
        <v>1.2270000000000001</v>
      </c>
      <c r="L9">
        <f t="shared" si="1"/>
        <v>0.56500000000000006</v>
      </c>
      <c r="M9">
        <f t="shared" si="2"/>
        <v>0.65272755000000005</v>
      </c>
      <c r="P9">
        <v>0.36987999999999999</v>
      </c>
      <c r="Q9">
        <v>0.69589000000000001</v>
      </c>
      <c r="R9">
        <v>1.1208400000000001</v>
      </c>
      <c r="S9">
        <v>0.52700000000000002</v>
      </c>
      <c r="T9">
        <v>0.77200000000000002</v>
      </c>
      <c r="U9">
        <v>1.2270000000000001</v>
      </c>
    </row>
    <row r="10" spans="1:21">
      <c r="A10">
        <v>9</v>
      </c>
      <c r="C10">
        <v>0.36458000000000002</v>
      </c>
      <c r="D10">
        <v>0.68862000000000001</v>
      </c>
      <c r="E10">
        <v>1.1167100000000001</v>
      </c>
      <c r="F10">
        <f t="shared" si="0"/>
        <v>0.7233033333333333</v>
      </c>
      <c r="I10">
        <v>0.127</v>
      </c>
      <c r="J10">
        <v>0.19</v>
      </c>
      <c r="K10">
        <v>0.61899999999999999</v>
      </c>
      <c r="L10">
        <f t="shared" si="1"/>
        <v>0.312</v>
      </c>
      <c r="M10">
        <f t="shared" si="2"/>
        <v>0.22567063999999998</v>
      </c>
      <c r="P10">
        <v>0.43831999999999999</v>
      </c>
      <c r="Q10">
        <v>0.79984999999999995</v>
      </c>
      <c r="R10">
        <v>1.2567999999999999</v>
      </c>
      <c r="S10">
        <v>0.46899999999999997</v>
      </c>
      <c r="T10">
        <v>0.83</v>
      </c>
      <c r="U10">
        <v>1.2470000000000001</v>
      </c>
    </row>
    <row r="11" spans="1:21">
      <c r="A11">
        <v>10</v>
      </c>
      <c r="C11">
        <v>0.37663999999999997</v>
      </c>
      <c r="D11">
        <v>0.7026</v>
      </c>
      <c r="E11">
        <v>1.12941</v>
      </c>
      <c r="F11">
        <f t="shared" si="0"/>
        <v>0.73621666666666663</v>
      </c>
      <c r="I11">
        <v>0.498</v>
      </c>
      <c r="J11">
        <v>0.70800000000000007</v>
      </c>
      <c r="K11">
        <v>1.2050000000000001</v>
      </c>
      <c r="L11">
        <f t="shared" si="1"/>
        <v>0.80366666666666664</v>
      </c>
      <c r="M11">
        <f t="shared" si="2"/>
        <v>0.59167279444444443</v>
      </c>
      <c r="P11">
        <v>0.76985000000000003</v>
      </c>
      <c r="Q11">
        <v>1.30738</v>
      </c>
      <c r="R11">
        <v>1.8967400000000001</v>
      </c>
      <c r="S11">
        <v>0.55700000000000005</v>
      </c>
      <c r="T11">
        <v>0.93799999999999994</v>
      </c>
      <c r="U11">
        <v>1.6930000000000001</v>
      </c>
    </row>
    <row r="12" spans="1:21">
      <c r="A12">
        <v>11</v>
      </c>
      <c r="C12">
        <v>0.60823000000000005</v>
      </c>
      <c r="D12">
        <v>1.0729500000000001</v>
      </c>
      <c r="E12">
        <v>1.6110800000000001</v>
      </c>
      <c r="F12">
        <f t="shared" si="0"/>
        <v>1.0974200000000001</v>
      </c>
      <c r="I12">
        <v>0.60599999999999998</v>
      </c>
      <c r="J12">
        <v>0.81600000000000006</v>
      </c>
      <c r="K12">
        <v>1.4910000000000001</v>
      </c>
      <c r="L12">
        <f t="shared" si="1"/>
        <v>0.97100000000000009</v>
      </c>
      <c r="M12">
        <f t="shared" si="2"/>
        <v>1.0655948200000001</v>
      </c>
      <c r="P12">
        <v>0.35004000000000002</v>
      </c>
      <c r="Q12">
        <v>0.66724000000000006</v>
      </c>
      <c r="R12">
        <v>1.09083</v>
      </c>
      <c r="S12">
        <v>0.50800000000000001</v>
      </c>
      <c r="T12">
        <v>0.79100000000000004</v>
      </c>
      <c r="U12">
        <v>1.1879999999999999</v>
      </c>
    </row>
    <row r="13" spans="1:21">
      <c r="A13">
        <v>12</v>
      </c>
      <c r="C13">
        <v>0.32412000000000002</v>
      </c>
      <c r="D13">
        <v>0.62531999999999999</v>
      </c>
      <c r="E13">
        <v>1.0295700000000001</v>
      </c>
      <c r="F13">
        <f t="shared" si="0"/>
        <v>0.65967000000000009</v>
      </c>
      <c r="I13">
        <v>8.8000000000000009E-2</v>
      </c>
      <c r="J13">
        <v>0.11700000000000001</v>
      </c>
      <c r="K13">
        <v>0.436</v>
      </c>
      <c r="L13">
        <f t="shared" si="1"/>
        <v>0.21366666666666667</v>
      </c>
      <c r="M13">
        <f t="shared" si="2"/>
        <v>0.14094949000000001</v>
      </c>
      <c r="P13">
        <v>0.89244999999999997</v>
      </c>
      <c r="Q13">
        <v>1.4873499999999999</v>
      </c>
      <c r="R13">
        <v>2.11348</v>
      </c>
      <c r="S13">
        <v>0.63500000000000001</v>
      </c>
      <c r="T13">
        <v>1.534</v>
      </c>
      <c r="U13">
        <v>2.6629999999999998</v>
      </c>
    </row>
    <row r="14" spans="1:21">
      <c r="A14">
        <v>13</v>
      </c>
      <c r="C14">
        <v>0.59702999999999995</v>
      </c>
      <c r="D14">
        <v>1.0229900000000001</v>
      </c>
      <c r="E14">
        <v>1.51756</v>
      </c>
      <c r="F14">
        <f t="shared" si="0"/>
        <v>1.04586</v>
      </c>
      <c r="I14">
        <v>4.9000000000000002E-2</v>
      </c>
      <c r="J14">
        <v>0.18099999999999999</v>
      </c>
      <c r="K14">
        <v>0.68399999999999994</v>
      </c>
      <c r="L14">
        <f t="shared" si="1"/>
        <v>0.30466666666666664</v>
      </c>
      <c r="M14">
        <f t="shared" si="2"/>
        <v>0.31863867999999995</v>
      </c>
      <c r="P14">
        <v>0.47010999999999997</v>
      </c>
      <c r="Q14">
        <v>0.84221999999999997</v>
      </c>
      <c r="R14">
        <v>1.30063</v>
      </c>
      <c r="S14">
        <v>0.38100000000000001</v>
      </c>
      <c r="T14">
        <v>0.69300000000000006</v>
      </c>
      <c r="U14">
        <v>1.1850000000000001</v>
      </c>
    </row>
    <row r="15" spans="1:21">
      <c r="A15">
        <v>14</v>
      </c>
      <c r="C15">
        <v>0.47932999999999998</v>
      </c>
      <c r="D15">
        <v>0.84538000000000002</v>
      </c>
      <c r="E15">
        <v>1.29257</v>
      </c>
      <c r="F15">
        <f t="shared" si="0"/>
        <v>0.87242666666666668</v>
      </c>
      <c r="I15">
        <v>6.8000000000000005E-2</v>
      </c>
      <c r="J15">
        <v>0.186</v>
      </c>
      <c r="K15">
        <v>0.70699999999999996</v>
      </c>
      <c r="L15">
        <f t="shared" si="1"/>
        <v>0.3203333333333333</v>
      </c>
      <c r="M15">
        <f t="shared" si="2"/>
        <v>0.27946734222222219</v>
      </c>
      <c r="P15">
        <v>0.51761000000000001</v>
      </c>
      <c r="Q15">
        <v>0.90137</v>
      </c>
      <c r="R15">
        <v>1.3603799999999999</v>
      </c>
      <c r="S15">
        <v>1.016</v>
      </c>
      <c r="T15">
        <v>1.28</v>
      </c>
      <c r="U15">
        <v>1.81</v>
      </c>
    </row>
    <row r="16" spans="1:21">
      <c r="A16">
        <v>15</v>
      </c>
      <c r="C16">
        <v>0.43891999999999998</v>
      </c>
      <c r="D16">
        <v>0.77200999999999997</v>
      </c>
      <c r="E16">
        <v>1.1916899999999999</v>
      </c>
      <c r="F16">
        <f t="shared" si="0"/>
        <v>0.80087333333333321</v>
      </c>
      <c r="I16">
        <v>9.8000000000000004E-2</v>
      </c>
      <c r="J16">
        <v>0.17100000000000001</v>
      </c>
      <c r="K16">
        <v>0.50800000000000001</v>
      </c>
      <c r="L16">
        <f t="shared" si="1"/>
        <v>0.25900000000000001</v>
      </c>
      <c r="M16">
        <f t="shared" si="2"/>
        <v>0.20742619333333331</v>
      </c>
      <c r="P16">
        <v>0.48570000000000002</v>
      </c>
      <c r="Q16">
        <v>0.84162999999999999</v>
      </c>
      <c r="R16">
        <v>1.27704</v>
      </c>
      <c r="S16">
        <v>0.74199999999999999</v>
      </c>
      <c r="T16">
        <v>1.109</v>
      </c>
      <c r="U16">
        <v>1.69</v>
      </c>
    </row>
    <row r="17" spans="1:21">
      <c r="A17">
        <v>16</v>
      </c>
      <c r="C17">
        <v>0.47474</v>
      </c>
      <c r="D17">
        <v>0.84716000000000002</v>
      </c>
      <c r="E17">
        <v>1.29691</v>
      </c>
      <c r="F17">
        <f t="shared" si="0"/>
        <v>0.87293666666666658</v>
      </c>
      <c r="I17">
        <v>4.9000000000000002E-2</v>
      </c>
      <c r="J17">
        <v>0.161</v>
      </c>
      <c r="K17">
        <v>0.67099999999999993</v>
      </c>
      <c r="L17">
        <f t="shared" si="1"/>
        <v>0.29366666666666669</v>
      </c>
      <c r="M17">
        <f t="shared" si="2"/>
        <v>0.25635240111111113</v>
      </c>
      <c r="P17">
        <v>0.42907000000000001</v>
      </c>
      <c r="Q17">
        <v>0.76993999999999996</v>
      </c>
      <c r="R17">
        <v>1.1971799999999999</v>
      </c>
      <c r="S17">
        <v>0.996</v>
      </c>
      <c r="T17">
        <v>1.26</v>
      </c>
      <c r="U17">
        <v>1.752</v>
      </c>
    </row>
    <row r="18" spans="1:21">
      <c r="A18">
        <v>17</v>
      </c>
      <c r="C18" s="1">
        <v>0.31863000000000002</v>
      </c>
      <c r="D18" s="1">
        <v>0.62399000000000004</v>
      </c>
      <c r="E18" s="1">
        <v>1.03471</v>
      </c>
      <c r="F18" s="1">
        <f t="shared" si="0"/>
        <v>0.65910999999999997</v>
      </c>
      <c r="G18" s="1"/>
      <c r="H18" s="1"/>
      <c r="I18" s="1">
        <v>0.02</v>
      </c>
      <c r="J18" s="1">
        <v>8.3000000000000004E-2</v>
      </c>
      <c r="K18" s="1">
        <v>0.36499999999999999</v>
      </c>
      <c r="L18" s="1">
        <f t="shared" si="1"/>
        <v>0.156</v>
      </c>
      <c r="M18" s="1">
        <f t="shared" si="2"/>
        <v>0.10282115999999999</v>
      </c>
      <c r="P18">
        <v>0.37241999999999997</v>
      </c>
      <c r="Q18">
        <v>0.69440000000000002</v>
      </c>
      <c r="R18">
        <v>1.11267</v>
      </c>
      <c r="S18">
        <v>0.45900000000000002</v>
      </c>
      <c r="T18">
        <v>0.71799999999999997</v>
      </c>
      <c r="U18">
        <v>1.1619999999999999</v>
      </c>
    </row>
    <row r="19" spans="1:21">
      <c r="A19">
        <v>18</v>
      </c>
      <c r="C19">
        <v>0.30214000000000002</v>
      </c>
      <c r="D19">
        <v>0.60370000000000001</v>
      </c>
      <c r="E19">
        <v>1.0187299999999999</v>
      </c>
      <c r="F19">
        <f t="shared" si="0"/>
        <v>0.64152333333333333</v>
      </c>
      <c r="I19">
        <v>0.02</v>
      </c>
      <c r="J19">
        <v>0.151</v>
      </c>
      <c r="K19">
        <v>0.51800000000000002</v>
      </c>
      <c r="L19">
        <f t="shared" si="1"/>
        <v>0.22966666666666669</v>
      </c>
      <c r="M19">
        <f t="shared" si="2"/>
        <v>0.14733652555555557</v>
      </c>
      <c r="P19">
        <v>0.32018999999999997</v>
      </c>
      <c r="Q19">
        <v>0.62373999999999996</v>
      </c>
      <c r="R19">
        <v>1.0380199999999999</v>
      </c>
      <c r="S19">
        <v>0.85000000000000009</v>
      </c>
      <c r="T19">
        <v>1.05</v>
      </c>
      <c r="U19">
        <v>1.3580000000000001</v>
      </c>
    </row>
    <row r="20" spans="1:21">
      <c r="A20">
        <v>19</v>
      </c>
      <c r="C20">
        <v>0.51619000000000004</v>
      </c>
      <c r="D20">
        <v>0.89763999999999999</v>
      </c>
      <c r="E20">
        <v>1.3477699999999999</v>
      </c>
      <c r="F20">
        <f t="shared" si="0"/>
        <v>0.9205333333333332</v>
      </c>
      <c r="I20">
        <v>4.9000000000000002E-2</v>
      </c>
      <c r="J20">
        <v>0.186</v>
      </c>
      <c r="K20">
        <v>0.76500000000000001</v>
      </c>
      <c r="L20">
        <f t="shared" si="1"/>
        <v>0.33333333333333331</v>
      </c>
      <c r="M20">
        <f t="shared" si="2"/>
        <v>0.30684444444444436</v>
      </c>
      <c r="P20">
        <v>0.50207999999999997</v>
      </c>
      <c r="Q20">
        <v>0.88066999999999995</v>
      </c>
      <c r="R20">
        <v>1.33463</v>
      </c>
      <c r="S20">
        <v>0.86899999999999999</v>
      </c>
      <c r="T20">
        <v>1.1180000000000001</v>
      </c>
      <c r="U20">
        <v>1.726</v>
      </c>
    </row>
    <row r="21" spans="1:21">
      <c r="A21">
        <v>20</v>
      </c>
      <c r="C21">
        <v>0.37758999999999998</v>
      </c>
      <c r="D21">
        <v>0.71275999999999995</v>
      </c>
      <c r="E21">
        <v>1.1412800000000001</v>
      </c>
      <c r="F21">
        <f t="shared" si="0"/>
        <v>0.74387666666666663</v>
      </c>
      <c r="I21">
        <v>7.8E-2</v>
      </c>
      <c r="J21">
        <v>0.156</v>
      </c>
      <c r="K21">
        <v>0.55700000000000005</v>
      </c>
      <c r="L21">
        <f t="shared" si="1"/>
        <v>0.26366666666666666</v>
      </c>
      <c r="M21">
        <f t="shared" si="2"/>
        <v>0.19613548111111109</v>
      </c>
      <c r="P21">
        <v>0.35487999999999997</v>
      </c>
      <c r="Q21">
        <v>0.67564999999999997</v>
      </c>
      <c r="R21">
        <v>1.0974299999999999</v>
      </c>
      <c r="S21">
        <v>0.66400000000000003</v>
      </c>
      <c r="T21">
        <v>0.79100000000000004</v>
      </c>
      <c r="U21">
        <v>1.2370000000000001</v>
      </c>
    </row>
    <row r="22" spans="1:21">
      <c r="A22">
        <v>21</v>
      </c>
      <c r="C22">
        <v>0.29781999999999997</v>
      </c>
      <c r="D22">
        <v>0.59567999999999999</v>
      </c>
      <c r="E22">
        <v>1.0018400000000001</v>
      </c>
      <c r="F22">
        <f t="shared" si="0"/>
        <v>0.63178000000000001</v>
      </c>
      <c r="I22">
        <v>3.9E-2</v>
      </c>
      <c r="J22">
        <v>9.2999999999999999E-2</v>
      </c>
      <c r="K22">
        <v>0.39400000000000002</v>
      </c>
      <c r="L22">
        <f t="shared" si="1"/>
        <v>0.17533333333333334</v>
      </c>
      <c r="M22">
        <f t="shared" si="2"/>
        <v>0.11077209333333334</v>
      </c>
      <c r="P22">
        <v>0.31389</v>
      </c>
      <c r="Q22">
        <v>0.62131000000000003</v>
      </c>
      <c r="R22">
        <v>1.0389200000000001</v>
      </c>
      <c r="S22">
        <v>0.91800000000000004</v>
      </c>
      <c r="T22">
        <v>1.1479999999999999</v>
      </c>
      <c r="U22">
        <v>1.6120000000000001</v>
      </c>
    </row>
    <row r="23" spans="1:21">
      <c r="A23">
        <v>22</v>
      </c>
      <c r="C23">
        <v>0.33473000000000003</v>
      </c>
      <c r="D23">
        <v>0.64375000000000004</v>
      </c>
      <c r="E23">
        <v>1.05358</v>
      </c>
      <c r="F23">
        <f t="shared" si="0"/>
        <v>0.67735333333333336</v>
      </c>
      <c r="I23">
        <v>9.8000000000000004E-2</v>
      </c>
      <c r="J23">
        <v>0.14199999999999999</v>
      </c>
      <c r="K23">
        <v>0.48499999999999999</v>
      </c>
      <c r="L23">
        <f t="shared" si="1"/>
        <v>0.24166666666666667</v>
      </c>
      <c r="M23">
        <f t="shared" si="2"/>
        <v>0.16369372222222223</v>
      </c>
      <c r="P23">
        <v>0.31211</v>
      </c>
      <c r="Q23">
        <v>0.61726000000000003</v>
      </c>
      <c r="R23">
        <v>1.0335099999999999</v>
      </c>
      <c r="S23">
        <v>1.006</v>
      </c>
      <c r="T23">
        <v>0.98699999999999999</v>
      </c>
      <c r="U23">
        <v>1.302</v>
      </c>
    </row>
    <row r="24" spans="1:21">
      <c r="A24">
        <v>23</v>
      </c>
      <c r="C24">
        <v>0.32530999999999999</v>
      </c>
      <c r="D24">
        <v>0.63366</v>
      </c>
      <c r="E24">
        <v>1.0444500000000001</v>
      </c>
      <c r="F24">
        <f t="shared" si="0"/>
        <v>0.66780666666666677</v>
      </c>
      <c r="I24">
        <v>6.8000000000000005E-2</v>
      </c>
      <c r="J24">
        <v>0.127</v>
      </c>
      <c r="K24">
        <v>0.46200000000000002</v>
      </c>
      <c r="L24">
        <f t="shared" si="1"/>
        <v>0.219</v>
      </c>
      <c r="M24">
        <f t="shared" si="2"/>
        <v>0.14624966000000003</v>
      </c>
      <c r="P24">
        <v>0.32612000000000002</v>
      </c>
      <c r="Q24">
        <v>0.63700000000000001</v>
      </c>
      <c r="R24">
        <v>1.0541400000000001</v>
      </c>
      <c r="S24">
        <v>0.79100000000000004</v>
      </c>
      <c r="T24">
        <v>0.85499999999999998</v>
      </c>
      <c r="U24">
        <v>1.27</v>
      </c>
    </row>
    <row r="25" spans="1:21">
      <c r="A25">
        <v>24</v>
      </c>
      <c r="C25">
        <v>0.32521</v>
      </c>
      <c r="D25">
        <v>0.63409000000000004</v>
      </c>
      <c r="E25">
        <v>1.04558</v>
      </c>
      <c r="F25">
        <f t="shared" si="0"/>
        <v>0.66829333333333329</v>
      </c>
      <c r="I25">
        <v>0.107</v>
      </c>
      <c r="J25">
        <v>0.151</v>
      </c>
      <c r="K25">
        <v>0.49500000000000011</v>
      </c>
      <c r="L25">
        <f t="shared" si="1"/>
        <v>0.25100000000000006</v>
      </c>
      <c r="M25">
        <f t="shared" si="2"/>
        <v>0.1677416266666667</v>
      </c>
      <c r="P25">
        <v>0.32440000000000002</v>
      </c>
      <c r="Q25">
        <v>0.63521000000000005</v>
      </c>
      <c r="R25">
        <v>1.0532699999999999</v>
      </c>
      <c r="S25">
        <v>0.83</v>
      </c>
      <c r="T25">
        <v>0.87899999999999989</v>
      </c>
      <c r="U25">
        <v>1.2829999999999999</v>
      </c>
    </row>
    <row r="26" spans="1:21">
      <c r="M26">
        <f>MIN(M2:M25)</f>
        <v>0.10282115999999999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硝基苯</cp:lastModifiedBy>
  <dcterms:created xsi:type="dcterms:W3CDTF">2026-03-30T01:09:56Z</dcterms:created>
  <dcterms:modified xsi:type="dcterms:W3CDTF">2026-03-30T01:32:35Z</dcterms:modified>
</cp:coreProperties>
</file>