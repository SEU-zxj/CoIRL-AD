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rojects\driving_world_model\icml_material\rebuttal\task3\"/>
    </mc:Choice>
  </mc:AlternateContent>
  <xr:revisionPtr revIDLastSave="0" documentId="13_ncr:1_{2D1915C0-831B-409B-8ED6-31FB5BF59244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val_metrics" sheetId="1" r:id="rId1"/>
  </sheets>
  <calcPr calcId="191029"/>
</workbook>
</file>

<file path=xl/calcChain.xml><?xml version="1.0" encoding="utf-8"?>
<calcChain xmlns="http://schemas.openxmlformats.org/spreadsheetml/2006/main">
  <c r="L26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</calcChain>
</file>

<file path=xl/sharedStrings.xml><?xml version="1.0" encoding="utf-8"?>
<sst xmlns="http://schemas.openxmlformats.org/spreadsheetml/2006/main" count="13" uniqueCount="7">
  <si>
    <t>epoch</t>
  </si>
  <si>
    <t>L2 (1s)</t>
  </si>
  <si>
    <t>L2 (2s)</t>
  </si>
  <si>
    <t>L2 (3s)</t>
  </si>
  <si>
    <t>Col (1s)</t>
  </si>
  <si>
    <t>Col (2s)</t>
  </si>
  <si>
    <t>Col (3s)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</si>
</sst>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N27" sqref="N27"/>
    </sheetView>
  </sheetViews>
  <sheetFormatPr defaultRowHeight="14.5"/>
  <sheetData>
    <row r="1" spans="1:19">
      <c r="A1" t="s">
        <v>0</v>
      </c>
      <c r="C1" t="s">
        <v>1</v>
      </c>
      <c r="D1" t="s">
        <v>2</v>
      </c>
      <c r="E1" t="s">
        <v>3</v>
      </c>
      <c r="H1" t="s">
        <v>4</v>
      </c>
      <c r="I1" t="s">
        <v>5</v>
      </c>
      <c r="J1" t="s">
        <v>6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>
      <c r="A2">
        <v>1</v>
      </c>
      <c r="C2">
        <v>2.22939</v>
      </c>
      <c r="D2">
        <v>3.72166</v>
      </c>
      <c r="E2">
        <v>5.2209500000000002</v>
      </c>
      <c r="F2">
        <f>AVERAGE(C2:E2)</f>
        <v>3.7240000000000002</v>
      </c>
      <c r="H2">
        <v>3.6629999999999998</v>
      </c>
      <c r="I2">
        <v>5.7240000000000002</v>
      </c>
      <c r="J2">
        <v>6.5210000000000008</v>
      </c>
      <c r="K2">
        <f>AVERAGE(H2:J2)</f>
        <v>5.3026666666666671</v>
      </c>
      <c r="L2">
        <f>F2*K2</f>
        <v>19.747130666666671</v>
      </c>
      <c r="N2">
        <v>3.5754999999999999</v>
      </c>
      <c r="O2">
        <v>5.9622299999999999</v>
      </c>
      <c r="P2">
        <v>8.3206399999999991</v>
      </c>
      <c r="Q2">
        <v>2.403</v>
      </c>
      <c r="R2">
        <v>4.4050000000000002</v>
      </c>
      <c r="S2">
        <v>6.2839999999999989</v>
      </c>
    </row>
    <row r="3" spans="1:19">
      <c r="A3">
        <v>2</v>
      </c>
      <c r="C3">
        <v>2.25569</v>
      </c>
      <c r="D3">
        <v>3.7698900000000002</v>
      </c>
      <c r="E3">
        <v>5.29216</v>
      </c>
      <c r="F3">
        <f t="shared" ref="F3:F25" si="0">AVERAGE(C3:E3)</f>
        <v>3.77258</v>
      </c>
      <c r="H3">
        <v>3.448</v>
      </c>
      <c r="I3">
        <v>5.9189999999999996</v>
      </c>
      <c r="J3">
        <v>6.915</v>
      </c>
      <c r="K3">
        <f t="shared" ref="K3:K25" si="1">AVERAGE(H3:J3)</f>
        <v>5.4273333333333333</v>
      </c>
      <c r="L3">
        <f t="shared" ref="L3:L25" si="2">F3*K3</f>
        <v>20.475049186666666</v>
      </c>
      <c r="N3">
        <v>3.3848799999999999</v>
      </c>
      <c r="O3">
        <v>5.6409000000000002</v>
      </c>
      <c r="P3">
        <v>7.8713600000000001</v>
      </c>
      <c r="Q3">
        <v>2.4319999999999999</v>
      </c>
      <c r="R3">
        <v>4.0830000000000002</v>
      </c>
      <c r="S3">
        <v>6.0789999999999997</v>
      </c>
    </row>
    <row r="4" spans="1:19">
      <c r="A4">
        <v>3</v>
      </c>
      <c r="C4">
        <v>2.2302499999999998</v>
      </c>
      <c r="D4">
        <v>3.7218100000000001</v>
      </c>
      <c r="E4">
        <v>5.2194099999999999</v>
      </c>
      <c r="F4">
        <f t="shared" si="0"/>
        <v>3.7238233333333333</v>
      </c>
      <c r="H4">
        <v>3.673</v>
      </c>
      <c r="I4">
        <v>5.758</v>
      </c>
      <c r="J4">
        <v>6.2839999999999989</v>
      </c>
      <c r="K4">
        <f t="shared" si="1"/>
        <v>5.2383333333333333</v>
      </c>
      <c r="L4">
        <f t="shared" si="2"/>
        <v>19.506627894444446</v>
      </c>
      <c r="N4">
        <v>3.2732000000000001</v>
      </c>
      <c r="O4">
        <v>5.4514199999999997</v>
      </c>
      <c r="P4">
        <v>7.60344</v>
      </c>
      <c r="Q4">
        <v>2.383</v>
      </c>
      <c r="R4">
        <v>3.931</v>
      </c>
      <c r="S4">
        <v>6.0750000000000002</v>
      </c>
    </row>
    <row r="5" spans="1:19">
      <c r="A5">
        <v>4</v>
      </c>
      <c r="C5">
        <v>2.2562199999999999</v>
      </c>
      <c r="D5">
        <v>3.76159</v>
      </c>
      <c r="E5">
        <v>5.2718800000000003</v>
      </c>
      <c r="F5">
        <f t="shared" si="0"/>
        <v>3.7632300000000001</v>
      </c>
      <c r="H5">
        <v>5.3920000000000003</v>
      </c>
      <c r="I5">
        <v>6.93</v>
      </c>
      <c r="J5">
        <v>7.0029999999999992</v>
      </c>
      <c r="K5">
        <f t="shared" si="1"/>
        <v>6.4416666666666664</v>
      </c>
      <c r="L5">
        <f t="shared" si="2"/>
        <v>24.241473249999999</v>
      </c>
      <c r="N5">
        <v>2.8007200000000001</v>
      </c>
      <c r="O5">
        <v>4.6566400000000003</v>
      </c>
      <c r="P5">
        <v>6.4922399999999998</v>
      </c>
      <c r="Q5">
        <v>2.5590000000000002</v>
      </c>
      <c r="R5">
        <v>4.5709999999999997</v>
      </c>
      <c r="S5">
        <v>6.7229999999999999</v>
      </c>
    </row>
    <row r="6" spans="1:19">
      <c r="A6">
        <v>5</v>
      </c>
      <c r="C6">
        <v>2.2381500000000001</v>
      </c>
      <c r="D6">
        <v>3.7332700000000001</v>
      </c>
      <c r="E6">
        <v>5.23414</v>
      </c>
      <c r="F6">
        <f t="shared" si="0"/>
        <v>3.7351866666666669</v>
      </c>
      <c r="H6">
        <v>4.2290000000000001</v>
      </c>
      <c r="I6">
        <v>6.1539999999999999</v>
      </c>
      <c r="J6">
        <v>6.5210000000000008</v>
      </c>
      <c r="K6">
        <f t="shared" si="1"/>
        <v>5.6346666666666669</v>
      </c>
      <c r="L6">
        <f t="shared" si="2"/>
        <v>21.046531804444445</v>
      </c>
      <c r="N6">
        <v>2.5959400000000001</v>
      </c>
      <c r="O6">
        <v>4.3099800000000004</v>
      </c>
      <c r="P6">
        <v>6.0082199999999997</v>
      </c>
      <c r="Q6">
        <v>2.7450000000000001</v>
      </c>
      <c r="R6">
        <v>5.0250000000000004</v>
      </c>
      <c r="S6">
        <v>6.5510000000000002</v>
      </c>
    </row>
    <row r="7" spans="1:19">
      <c r="A7">
        <v>6</v>
      </c>
      <c r="C7">
        <v>2.2398099999999999</v>
      </c>
      <c r="D7">
        <v>3.7401300000000002</v>
      </c>
      <c r="E7">
        <v>5.2471300000000003</v>
      </c>
      <c r="F7">
        <f t="shared" si="0"/>
        <v>3.7423566666666672</v>
      </c>
      <c r="H7">
        <v>2.8330000000000002</v>
      </c>
      <c r="I7">
        <v>5.3330000000000002</v>
      </c>
      <c r="J7">
        <v>6.32</v>
      </c>
      <c r="K7">
        <f t="shared" si="1"/>
        <v>4.8286666666666669</v>
      </c>
      <c r="L7">
        <f t="shared" si="2"/>
        <v>18.070592891111115</v>
      </c>
      <c r="N7">
        <v>2.43397</v>
      </c>
      <c r="O7">
        <v>4.0427499999999998</v>
      </c>
      <c r="P7">
        <v>5.64832</v>
      </c>
      <c r="Q7">
        <v>3.214</v>
      </c>
      <c r="R7">
        <v>5.2160000000000002</v>
      </c>
      <c r="S7">
        <v>6.3719999999999999</v>
      </c>
    </row>
    <row r="8" spans="1:19">
      <c r="A8">
        <v>7</v>
      </c>
      <c r="C8">
        <v>2.2437399999999998</v>
      </c>
      <c r="D8">
        <v>3.75149</v>
      </c>
      <c r="E8">
        <v>5.2665800000000003</v>
      </c>
      <c r="F8">
        <f t="shared" si="0"/>
        <v>3.7539366666666667</v>
      </c>
      <c r="H8">
        <v>2.823</v>
      </c>
      <c r="I8">
        <v>5.4359999999999999</v>
      </c>
      <c r="J8">
        <v>6.4140000000000006</v>
      </c>
      <c r="K8">
        <f t="shared" si="1"/>
        <v>4.8910000000000009</v>
      </c>
      <c r="L8">
        <f t="shared" si="2"/>
        <v>18.360504236666671</v>
      </c>
      <c r="N8">
        <v>2.2934100000000002</v>
      </c>
      <c r="O8">
        <v>3.80166</v>
      </c>
      <c r="P8">
        <v>5.3106099999999996</v>
      </c>
      <c r="Q8">
        <v>3.448</v>
      </c>
      <c r="R8">
        <v>5.694</v>
      </c>
      <c r="S8">
        <v>6.6549999999999994</v>
      </c>
    </row>
    <row r="9" spans="1:19">
      <c r="A9">
        <v>8</v>
      </c>
      <c r="C9">
        <v>2.2738200000000002</v>
      </c>
      <c r="D9">
        <v>3.7971699999999999</v>
      </c>
      <c r="E9">
        <v>5.32592</v>
      </c>
      <c r="F9">
        <f t="shared" si="0"/>
        <v>3.7989700000000002</v>
      </c>
      <c r="H9">
        <v>2.8130000000000002</v>
      </c>
      <c r="I9">
        <v>5.4550000000000001</v>
      </c>
      <c r="J9">
        <v>6.5699999999999994</v>
      </c>
      <c r="K9">
        <f t="shared" si="1"/>
        <v>4.9460000000000006</v>
      </c>
      <c r="L9">
        <f t="shared" si="2"/>
        <v>18.789705620000003</v>
      </c>
      <c r="N9">
        <v>2.3203999999999998</v>
      </c>
      <c r="O9">
        <v>3.8475600000000001</v>
      </c>
      <c r="P9">
        <v>5.3766400000000001</v>
      </c>
      <c r="Q9">
        <v>3.7410000000000001</v>
      </c>
      <c r="R9">
        <v>6.2709999999999999</v>
      </c>
      <c r="S9">
        <v>7.5539999999999994</v>
      </c>
    </row>
    <row r="10" spans="1:19">
      <c r="A10">
        <v>9</v>
      </c>
      <c r="C10">
        <v>3.7409599999999998</v>
      </c>
      <c r="D10">
        <v>6.1955600000000004</v>
      </c>
      <c r="E10">
        <v>8.6333500000000001</v>
      </c>
      <c r="F10">
        <f t="shared" si="0"/>
        <v>6.1899566666666672</v>
      </c>
      <c r="H10">
        <v>1.25</v>
      </c>
      <c r="I10">
        <v>3.4529999999999998</v>
      </c>
      <c r="J10">
        <v>5.8409999999999993</v>
      </c>
      <c r="K10">
        <f t="shared" si="1"/>
        <v>3.5146666666666664</v>
      </c>
      <c r="L10">
        <f t="shared" si="2"/>
        <v>21.755634364444443</v>
      </c>
      <c r="N10">
        <v>2.8933200000000001</v>
      </c>
      <c r="O10">
        <v>4.8077199999999998</v>
      </c>
      <c r="P10">
        <v>6.70906</v>
      </c>
      <c r="Q10">
        <v>2.1779999999999999</v>
      </c>
      <c r="R10">
        <v>3.984999999999999</v>
      </c>
      <c r="S10">
        <v>5.6289999999999996</v>
      </c>
    </row>
    <row r="11" spans="1:19">
      <c r="A11">
        <v>10</v>
      </c>
      <c r="C11">
        <v>2.8259099999999999</v>
      </c>
      <c r="D11">
        <v>4.7129899999999996</v>
      </c>
      <c r="E11">
        <v>6.6041800000000004</v>
      </c>
      <c r="F11">
        <f t="shared" si="0"/>
        <v>4.7143600000000001</v>
      </c>
      <c r="H11">
        <v>2.383</v>
      </c>
      <c r="I11">
        <v>4.4779999999999998</v>
      </c>
      <c r="J11">
        <v>5.7789999999999999</v>
      </c>
      <c r="K11">
        <f t="shared" si="1"/>
        <v>4.2133333333333338</v>
      </c>
      <c r="L11">
        <f t="shared" si="2"/>
        <v>19.863170133333337</v>
      </c>
      <c r="N11">
        <v>2.5307400000000002</v>
      </c>
      <c r="O11">
        <v>4.21896</v>
      </c>
      <c r="P11">
        <v>5.9051400000000003</v>
      </c>
      <c r="Q11">
        <v>3.194</v>
      </c>
      <c r="R11">
        <v>5.1669999999999998</v>
      </c>
      <c r="S11">
        <v>6.4530000000000003</v>
      </c>
    </row>
    <row r="12" spans="1:19">
      <c r="A12">
        <v>11</v>
      </c>
      <c r="C12">
        <v>2.7491599999999998</v>
      </c>
      <c r="D12">
        <v>4.5791300000000001</v>
      </c>
      <c r="E12">
        <v>6.4135299999999997</v>
      </c>
      <c r="F12">
        <f t="shared" si="0"/>
        <v>4.5806066666666672</v>
      </c>
      <c r="H12">
        <v>2.0710000000000002</v>
      </c>
      <c r="I12">
        <v>4.0970000000000004</v>
      </c>
      <c r="J12">
        <v>5.31</v>
      </c>
      <c r="K12">
        <f t="shared" si="1"/>
        <v>3.8260000000000005</v>
      </c>
      <c r="L12">
        <f t="shared" si="2"/>
        <v>17.525401106666671</v>
      </c>
      <c r="N12">
        <v>2.6114000000000002</v>
      </c>
      <c r="O12">
        <v>4.3662000000000001</v>
      </c>
      <c r="P12">
        <v>6.1271599999999999</v>
      </c>
      <c r="Q12">
        <v>3.1739999999999999</v>
      </c>
      <c r="R12">
        <v>5.1229999999999993</v>
      </c>
      <c r="S12">
        <v>6.2869999999999999</v>
      </c>
    </row>
    <row r="13" spans="1:19">
      <c r="A13">
        <v>12</v>
      </c>
      <c r="C13">
        <v>2.19455</v>
      </c>
      <c r="D13">
        <v>3.6877200000000001</v>
      </c>
      <c r="E13">
        <v>5.1884600000000001</v>
      </c>
      <c r="F13">
        <f t="shared" si="0"/>
        <v>3.6902433333333335</v>
      </c>
      <c r="H13">
        <v>3.4769999999999999</v>
      </c>
      <c r="I13">
        <v>5.7039999999999997</v>
      </c>
      <c r="J13">
        <v>6.2350000000000003</v>
      </c>
      <c r="K13">
        <f t="shared" si="1"/>
        <v>5.1386666666666665</v>
      </c>
      <c r="L13">
        <f t="shared" si="2"/>
        <v>18.962930408888891</v>
      </c>
      <c r="N13">
        <v>2.16438</v>
      </c>
      <c r="O13">
        <v>3.5967699999999998</v>
      </c>
      <c r="P13">
        <v>5.0273399999999997</v>
      </c>
      <c r="Q13">
        <v>3.7309999999999999</v>
      </c>
      <c r="R13">
        <v>5.7240000000000002</v>
      </c>
      <c r="S13">
        <v>6.9020000000000001</v>
      </c>
    </row>
    <row r="14" spans="1:19">
      <c r="A14">
        <v>13</v>
      </c>
      <c r="C14">
        <v>2.8314900000000001</v>
      </c>
      <c r="D14">
        <v>4.7320700000000002</v>
      </c>
      <c r="E14">
        <v>6.6348700000000003</v>
      </c>
      <c r="F14">
        <f t="shared" si="0"/>
        <v>4.7328100000000006</v>
      </c>
      <c r="H14">
        <v>1.4750000000000001</v>
      </c>
      <c r="I14">
        <v>3.6240000000000001</v>
      </c>
      <c r="J14">
        <v>5.0070000000000006</v>
      </c>
      <c r="K14">
        <f t="shared" si="1"/>
        <v>3.3686666666666674</v>
      </c>
      <c r="L14">
        <f t="shared" si="2"/>
        <v>15.943259286666672</v>
      </c>
      <c r="N14">
        <v>2.3984200000000002</v>
      </c>
      <c r="O14">
        <v>3.9800399999999998</v>
      </c>
      <c r="P14">
        <v>5.5589300000000001</v>
      </c>
      <c r="Q14">
        <v>2.8719999999999999</v>
      </c>
      <c r="R14">
        <v>4.3999999999999986</v>
      </c>
      <c r="S14">
        <v>5.7370000000000001</v>
      </c>
    </row>
    <row r="15" spans="1:19">
      <c r="A15">
        <v>14</v>
      </c>
      <c r="C15">
        <v>2.8894600000000001</v>
      </c>
      <c r="D15">
        <v>4.8203300000000002</v>
      </c>
      <c r="E15">
        <v>6.7408400000000004</v>
      </c>
      <c r="F15">
        <f t="shared" si="0"/>
        <v>4.8168766666666665</v>
      </c>
      <c r="H15">
        <v>1.514</v>
      </c>
      <c r="I15">
        <v>3.4380000000000002</v>
      </c>
      <c r="J15">
        <v>4.7989999999999986</v>
      </c>
      <c r="K15">
        <f t="shared" si="1"/>
        <v>3.2503333333333324</v>
      </c>
      <c r="L15">
        <f t="shared" si="2"/>
        <v>15.656454792222217</v>
      </c>
      <c r="N15">
        <v>2.5878299999999999</v>
      </c>
      <c r="O15">
        <v>4.29155</v>
      </c>
      <c r="P15">
        <v>5.9929500000000004</v>
      </c>
      <c r="Q15">
        <v>2.93</v>
      </c>
      <c r="R15">
        <v>4.9420000000000002</v>
      </c>
      <c r="S15">
        <v>6.2119999999999997</v>
      </c>
    </row>
    <row r="16" spans="1:19">
      <c r="A16">
        <v>15</v>
      </c>
      <c r="C16">
        <v>2.72092</v>
      </c>
      <c r="D16">
        <v>4.5295100000000001</v>
      </c>
      <c r="E16">
        <v>6.3325899999999997</v>
      </c>
      <c r="F16">
        <f t="shared" si="0"/>
        <v>4.5276733333333334</v>
      </c>
      <c r="H16">
        <v>1.7090000000000001</v>
      </c>
      <c r="I16">
        <v>3.8679999999999999</v>
      </c>
      <c r="J16">
        <v>5.3140000000000001</v>
      </c>
      <c r="K16">
        <f t="shared" si="1"/>
        <v>3.6303333333333332</v>
      </c>
      <c r="L16">
        <f t="shared" si="2"/>
        <v>16.436963424444443</v>
      </c>
      <c r="N16">
        <v>2.3626100000000001</v>
      </c>
      <c r="O16">
        <v>3.9162599999999999</v>
      </c>
      <c r="P16">
        <v>5.4715299999999996</v>
      </c>
      <c r="Q16">
        <v>2.9990000000000001</v>
      </c>
      <c r="R16">
        <v>4.6879999999999997</v>
      </c>
      <c r="S16">
        <v>5.9349999999999996</v>
      </c>
    </row>
    <row r="17" spans="1:19">
      <c r="A17">
        <v>16</v>
      </c>
      <c r="C17">
        <v>2.8587799999999999</v>
      </c>
      <c r="D17">
        <v>4.7553200000000002</v>
      </c>
      <c r="E17">
        <v>6.6393300000000002</v>
      </c>
      <c r="F17">
        <f t="shared" si="0"/>
        <v>4.7511433333333342</v>
      </c>
      <c r="H17">
        <v>2.6960000000000002</v>
      </c>
      <c r="I17">
        <v>4.5609999999999999</v>
      </c>
      <c r="J17">
        <v>5.8049999999999997</v>
      </c>
      <c r="K17">
        <f t="shared" si="1"/>
        <v>4.3540000000000001</v>
      </c>
      <c r="L17">
        <f t="shared" si="2"/>
        <v>20.686478073333337</v>
      </c>
      <c r="N17">
        <v>2.4287399999999999</v>
      </c>
      <c r="O17">
        <v>4.0322899999999997</v>
      </c>
      <c r="P17">
        <v>5.6439899999999996</v>
      </c>
      <c r="Q17">
        <v>3.0960000000000001</v>
      </c>
      <c r="R17">
        <v>4.8449999999999998</v>
      </c>
      <c r="S17">
        <v>6.0359999999999996</v>
      </c>
    </row>
    <row r="18" spans="1:19">
      <c r="A18">
        <v>17</v>
      </c>
      <c r="C18">
        <v>2.8239399999999999</v>
      </c>
      <c r="D18">
        <v>4.70662</v>
      </c>
      <c r="E18">
        <v>6.5728</v>
      </c>
      <c r="F18">
        <f t="shared" si="0"/>
        <v>4.7011199999999995</v>
      </c>
      <c r="H18">
        <v>2.5299999999999998</v>
      </c>
      <c r="I18">
        <v>4.3710000000000004</v>
      </c>
      <c r="J18">
        <v>5.681</v>
      </c>
      <c r="K18">
        <f t="shared" si="1"/>
        <v>4.194</v>
      </c>
      <c r="L18">
        <f t="shared" si="2"/>
        <v>19.716497279999999</v>
      </c>
      <c r="N18">
        <v>2.5705200000000001</v>
      </c>
      <c r="O18">
        <v>4.2797799999999997</v>
      </c>
      <c r="P18">
        <v>6.0026099999999998</v>
      </c>
      <c r="Q18">
        <v>3.2429999999999999</v>
      </c>
      <c r="R18">
        <v>5.24</v>
      </c>
      <c r="S18">
        <v>6.3159999999999989</v>
      </c>
    </row>
    <row r="19" spans="1:19">
      <c r="A19">
        <v>18</v>
      </c>
      <c r="C19">
        <v>2.8929200000000002</v>
      </c>
      <c r="D19">
        <v>4.8337500000000002</v>
      </c>
      <c r="E19">
        <v>6.7685000000000004</v>
      </c>
      <c r="F19">
        <f t="shared" si="0"/>
        <v>4.8317233333333336</v>
      </c>
      <c r="H19">
        <v>2.6469999999999998</v>
      </c>
      <c r="I19">
        <v>4.4779999999999998</v>
      </c>
      <c r="J19">
        <v>5.5670000000000002</v>
      </c>
      <c r="K19">
        <f t="shared" si="1"/>
        <v>4.230666666666667</v>
      </c>
      <c r="L19">
        <f t="shared" si="2"/>
        <v>20.441410848888893</v>
      </c>
      <c r="N19">
        <v>2.5785900000000002</v>
      </c>
      <c r="O19">
        <v>4.29352</v>
      </c>
      <c r="P19">
        <v>6.0240099999999996</v>
      </c>
      <c r="Q19">
        <v>3.262</v>
      </c>
      <c r="R19">
        <v>4.9619999999999997</v>
      </c>
      <c r="S19">
        <v>6.069</v>
      </c>
    </row>
    <row r="20" spans="1:19">
      <c r="A20">
        <v>19</v>
      </c>
      <c r="C20">
        <v>2.91933</v>
      </c>
      <c r="D20">
        <v>4.86653</v>
      </c>
      <c r="E20">
        <v>6.8041200000000002</v>
      </c>
      <c r="F20">
        <f t="shared" si="0"/>
        <v>4.8633266666666666</v>
      </c>
      <c r="H20">
        <v>2.7349999999999999</v>
      </c>
      <c r="I20">
        <v>4.6050000000000004</v>
      </c>
      <c r="J20">
        <v>5.5410000000000004</v>
      </c>
      <c r="K20">
        <f t="shared" si="1"/>
        <v>4.2936666666666667</v>
      </c>
      <c r="L20">
        <f t="shared" si="2"/>
        <v>20.881503597777776</v>
      </c>
      <c r="N20">
        <v>2.54833</v>
      </c>
      <c r="O20">
        <v>4.2334699999999996</v>
      </c>
      <c r="P20">
        <v>5.9287799999999997</v>
      </c>
      <c r="Q20">
        <v>3.262</v>
      </c>
      <c r="R20">
        <v>4.6879999999999997</v>
      </c>
      <c r="S20">
        <v>5.7469999999999999</v>
      </c>
    </row>
    <row r="21" spans="1:19">
      <c r="A21">
        <v>20</v>
      </c>
      <c r="C21">
        <v>2.8206899999999999</v>
      </c>
      <c r="D21">
        <v>4.7004400000000004</v>
      </c>
      <c r="E21">
        <v>6.5695199999999998</v>
      </c>
      <c r="F21">
        <f t="shared" si="0"/>
        <v>4.6968833333333331</v>
      </c>
      <c r="H21">
        <v>2.383</v>
      </c>
      <c r="I21">
        <v>4.21</v>
      </c>
      <c r="J21">
        <v>5.3789999999999996</v>
      </c>
      <c r="K21">
        <f t="shared" si="1"/>
        <v>3.9906666666666664</v>
      </c>
      <c r="L21">
        <f t="shared" si="2"/>
        <v>18.743695755555553</v>
      </c>
      <c r="N21">
        <v>2.5990799999999998</v>
      </c>
      <c r="O21">
        <v>4.3210600000000001</v>
      </c>
      <c r="P21">
        <v>6.0547199999999997</v>
      </c>
      <c r="Q21">
        <v>2.9790000000000001</v>
      </c>
      <c r="R21">
        <v>4.7619999999999996</v>
      </c>
      <c r="S21">
        <v>5.7949999999999999</v>
      </c>
    </row>
    <row r="22" spans="1:19">
      <c r="A22">
        <v>21</v>
      </c>
      <c r="C22">
        <v>2.7172000000000001</v>
      </c>
      <c r="D22">
        <v>4.5366499999999998</v>
      </c>
      <c r="E22">
        <v>6.3491200000000001</v>
      </c>
      <c r="F22">
        <f t="shared" si="0"/>
        <v>4.534323333333333</v>
      </c>
      <c r="H22">
        <v>2.1</v>
      </c>
      <c r="I22">
        <v>3.858000000000001</v>
      </c>
      <c r="J22">
        <v>5.0469999999999997</v>
      </c>
      <c r="K22">
        <f t="shared" si="1"/>
        <v>3.6683333333333334</v>
      </c>
      <c r="L22">
        <f t="shared" si="2"/>
        <v>16.633409427777778</v>
      </c>
      <c r="N22">
        <v>2.5308799999999998</v>
      </c>
      <c r="O22">
        <v>4.20235</v>
      </c>
      <c r="P22">
        <v>5.8851199999999997</v>
      </c>
      <c r="Q22">
        <v>2.8130000000000002</v>
      </c>
      <c r="R22">
        <v>4.5519999999999996</v>
      </c>
      <c r="S22">
        <v>5.7919999999999998</v>
      </c>
    </row>
    <row r="23" spans="1:19">
      <c r="A23">
        <v>22</v>
      </c>
      <c r="C23">
        <v>2.7643599999999999</v>
      </c>
      <c r="D23">
        <v>4.6180300000000001</v>
      </c>
      <c r="E23">
        <v>6.4745999999999997</v>
      </c>
      <c r="F23">
        <f t="shared" si="0"/>
        <v>4.6189966666666669</v>
      </c>
      <c r="H23">
        <v>1.885</v>
      </c>
      <c r="I23">
        <v>3.629</v>
      </c>
      <c r="J23">
        <v>4.9590000000000014</v>
      </c>
      <c r="K23">
        <f t="shared" si="1"/>
        <v>3.491000000000001</v>
      </c>
      <c r="L23">
        <f t="shared" si="2"/>
        <v>16.124917363333338</v>
      </c>
      <c r="N23">
        <v>2.5791900000000001</v>
      </c>
      <c r="O23">
        <v>4.28322</v>
      </c>
      <c r="P23">
        <v>5.9992400000000004</v>
      </c>
      <c r="Q23">
        <v>2.7639999999999998</v>
      </c>
      <c r="R23">
        <v>4.3470000000000004</v>
      </c>
      <c r="S23">
        <v>5.3529999999999998</v>
      </c>
    </row>
    <row r="24" spans="1:19">
      <c r="A24">
        <v>23</v>
      </c>
      <c r="C24">
        <v>2.76938</v>
      </c>
      <c r="D24">
        <v>4.6263399999999999</v>
      </c>
      <c r="E24">
        <v>6.4870999999999999</v>
      </c>
      <c r="F24">
        <f t="shared" si="0"/>
        <v>4.627606666666666</v>
      </c>
      <c r="H24">
        <v>1.8169999999999999</v>
      </c>
      <c r="I24">
        <v>3.6139999999999999</v>
      </c>
      <c r="J24">
        <v>4.9750000000000014</v>
      </c>
      <c r="K24">
        <f t="shared" si="1"/>
        <v>3.4686666666666675</v>
      </c>
      <c r="L24">
        <f t="shared" si="2"/>
        <v>16.051624991111112</v>
      </c>
      <c r="N24">
        <v>2.5732400000000002</v>
      </c>
      <c r="O24">
        <v>4.2743500000000001</v>
      </c>
      <c r="P24">
        <v>5.9881099999999998</v>
      </c>
      <c r="Q24">
        <v>2.7639999999999998</v>
      </c>
      <c r="R24">
        <v>4.444</v>
      </c>
      <c r="S24">
        <v>5.4239999999999986</v>
      </c>
    </row>
    <row r="25" spans="1:19">
      <c r="A25">
        <v>24</v>
      </c>
      <c r="C25" s="1">
        <v>2.7927399999999998</v>
      </c>
      <c r="D25" s="1">
        <v>4.6669799999999997</v>
      </c>
      <c r="E25" s="1">
        <v>6.5459100000000001</v>
      </c>
      <c r="F25" s="1">
        <f t="shared" si="0"/>
        <v>4.668543333333333</v>
      </c>
      <c r="G25" s="1"/>
      <c r="H25" s="1">
        <v>1.758</v>
      </c>
      <c r="I25" s="1">
        <v>3.5550000000000002</v>
      </c>
      <c r="J25" s="1">
        <v>4.8840000000000003</v>
      </c>
      <c r="K25" s="1">
        <f t="shared" si="1"/>
        <v>3.3990000000000005</v>
      </c>
      <c r="L25" s="1">
        <f t="shared" si="2"/>
        <v>15.868378790000001</v>
      </c>
      <c r="N25">
        <v>2.5886100000000001</v>
      </c>
      <c r="O25">
        <v>4.2996600000000003</v>
      </c>
      <c r="P25">
        <v>6.0235399999999997</v>
      </c>
      <c r="Q25">
        <v>2.706</v>
      </c>
      <c r="R25">
        <v>4.3999999999999986</v>
      </c>
      <c r="S25">
        <v>5.3789999999999996</v>
      </c>
    </row>
    <row r="26" spans="1:19">
      <c r="L26">
        <f>MIN(L2:L25)</f>
        <v>15.656454792222217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硝基苯</cp:lastModifiedBy>
  <dcterms:created xsi:type="dcterms:W3CDTF">2026-03-30T01:26:32Z</dcterms:created>
  <dcterms:modified xsi:type="dcterms:W3CDTF">2026-03-30T01:32:31Z</dcterms:modified>
</cp:coreProperties>
</file>